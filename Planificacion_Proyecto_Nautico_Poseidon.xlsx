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ersonal\UNI\2026-2\Desarrollo\PF\"/>
    </mc:Choice>
  </mc:AlternateContent>
  <xr:revisionPtr revIDLastSave="0" documentId="13_ncr:1_{45E92AE2-55E5-470F-A8C5-BCD9CA11A09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LANIFICACION" sheetId="1" r:id="rId1"/>
    <sheet name="FASES" sheetId="2" r:id="rId2"/>
    <sheet name="EQUIPO" sheetId="3" r:id="rId3"/>
    <sheet name="RESUMEN" sheetId="4" r:id="rId4"/>
  </sheets>
  <definedNames>
    <definedName name="_xlnm._FilterDatabase" localSheetId="0" hidden="1">PLANIFICACION!$A$5:$I$102</definedName>
    <definedName name="_xlnm.Print_Titles" localSheetId="0">PLANIFICACION!$5:$5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1" i="4" l="1"/>
  <c r="A20" i="4"/>
  <c r="C20" i="4" s="1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F10" i="4" s="1"/>
  <c r="B10" i="4"/>
  <c r="E9" i="4"/>
  <c r="D9" i="4"/>
  <c r="C9" i="4"/>
  <c r="F9" i="4" s="1"/>
  <c r="B9" i="4"/>
  <c r="E8" i="4"/>
  <c r="D8" i="4"/>
  <c r="C8" i="4"/>
  <c r="F8" i="4" s="1"/>
  <c r="B8" i="4"/>
  <c r="E7" i="4"/>
  <c r="D7" i="4"/>
  <c r="C7" i="4"/>
  <c r="F7" i="4" s="1"/>
  <c r="B7" i="4"/>
  <c r="B15" i="4" s="1"/>
  <c r="H99" i="1"/>
  <c r="H95" i="1"/>
  <c r="H91" i="1"/>
  <c r="H87" i="1"/>
  <c r="H83" i="1"/>
  <c r="H79" i="1"/>
  <c r="H75" i="1"/>
  <c r="H71" i="1"/>
  <c r="H67" i="1"/>
  <c r="H63" i="1"/>
  <c r="H59" i="1"/>
  <c r="H55" i="1"/>
  <c r="H51" i="1"/>
  <c r="H47" i="1"/>
  <c r="H43" i="1"/>
  <c r="H38" i="1"/>
  <c r="H34" i="1"/>
  <c r="H30" i="1"/>
  <c r="H26" i="1"/>
  <c r="H22" i="1"/>
  <c r="H18" i="1"/>
  <c r="H14" i="1"/>
  <c r="H10" i="1"/>
  <c r="H6" i="1"/>
  <c r="C21" i="4" s="1"/>
  <c r="B3" i="1"/>
  <c r="E15" i="4" l="1"/>
  <c r="D15" i="4"/>
  <c r="F12" i="4"/>
  <c r="F14" i="4"/>
  <c r="F11" i="4"/>
  <c r="F13" i="4"/>
  <c r="C22" i="4"/>
  <c r="C15" i="4"/>
  <c r="F15" i="4" s="1"/>
  <c r="B21" i="4"/>
  <c r="B20" i="4"/>
  <c r="B22" i="4" s="1"/>
  <c r="D21" i="4" l="1"/>
  <c r="D20" i="4"/>
  <c r="D22" i="4" l="1"/>
</calcChain>
</file>

<file path=xl/sharedStrings.xml><?xml version="1.0" encoding="utf-8"?>
<sst xmlns="http://schemas.openxmlformats.org/spreadsheetml/2006/main" count="393" uniqueCount="238">
  <si>
    <t>NOMBRE DEL PROYECTO</t>
  </si>
  <si>
    <t>POSEIDÓN – Sistema Web del Club Náutico Poseidón del Perú</t>
  </si>
  <si>
    <t>DESCRIPCIÓN:</t>
  </si>
  <si>
    <t>Sistema web para la gestión de socios, embarcaciones, salidas de naves, facturación y cobranzas del club.</t>
  </si>
  <si>
    <t>RESPONSABLE DEL PROYECTO</t>
  </si>
  <si>
    <t>Épicas</t>
  </si>
  <si>
    <t>Sprint</t>
  </si>
  <si>
    <t>Historias de Usuario</t>
  </si>
  <si>
    <t>Criterios de aceptación</t>
  </si>
  <si>
    <t>Estado</t>
  </si>
  <si>
    <t>Tecnologías utilizadas</t>
  </si>
  <si>
    <t>Inicio y Fin</t>
  </si>
  <si>
    <t>Recurso Responsable</t>
  </si>
  <si>
    <t>Release</t>
  </si>
  <si>
    <t>Home Page y Base del Sistema Web:
Establecer la base técnica del proyecto y publicar la página de inicio (Home) del Club Náutico Poseidón del Perú.</t>
  </si>
  <si>
    <t>HU01 - Configuración del proyecto y control de versiones
Como equipo de desarrollo quiero configurar el proyecto Angular, los estilos y los repositorios para trabajar de forma ordenada y con trazabilidad de cambios.</t>
  </si>
  <si>
    <t>Proyecto Angular creado con Angular CLI y estructura de carpetas (components, pages, services, assets)</t>
  </si>
  <si>
    <t>Falta</t>
  </si>
  <si>
    <t>Angular CLI, TypeScript, Node.js.
Bootstrap 5, SCSS.
Git, GitHub, Visual Studio Code.
Jira (backlog exportado a Excel).</t>
  </si>
  <si>
    <t>19/09/26 al 25/09/26</t>
  </si>
  <si>
    <t>Versión 1: Home page y acceso al sistema</t>
  </si>
  <si>
    <t>Bootstrap 5 y SCSS configurados, con variables de color y tipografía en un archivo global</t>
  </si>
  <si>
    <t>Repositorio en GitHub con ramas main, develop y feature/*, y todos los integrantes agregados como colaboradores</t>
  </si>
  <si>
    <t>Backlog cargado en Jira y exportado a Excel</t>
  </si>
  <si>
    <t>HU02 - Barra de navegación y pie de página
Como visitante quiero una barra de navegación clara y un pie de página para desplazarme fácilmente por el sitio del club.</t>
  </si>
  <si>
    <t>Navbar con logo y enlaces: Inicio, Nosotros, Servicios, Instalaciones y Contacto</t>
  </si>
  <si>
    <t>Angular (componentes navbar y footer, RouterModule).
Bootstrap 5 (Navbar), SCSS.</t>
  </si>
  <si>
    <t>19/09/26 al 02/10/26</t>
  </si>
  <si>
    <t>Menú colapsable (hamburguesa) en pantallas pequeñas</t>
  </si>
  <si>
    <t>Botones "Hazte socio" e "Iniciar sesión" visibles en la barra</t>
  </si>
  <si>
    <t>Footer con datos de contacto, redes sociales y derechos reservados</t>
  </si>
  <si>
    <t>HU03 - Portada de bienvenida (Hero)
Como visitante quiero ver una portada atractiva con la propuesta del club para saber de inmediato qué ofrece.</t>
  </si>
  <si>
    <t>Banner principal con imagen náutica (muelle o embarcaciones) y título de bienvenida</t>
  </si>
  <si>
    <t>Angular (componente hero).
Bootstrap 5 (grid, botones), SCSS.</t>
  </si>
  <si>
    <t>26/09/26 al 02/10/26</t>
  </si>
  <si>
    <t>Texto breve con la propuesta de valor del club</t>
  </si>
  <si>
    <t>Botones de acción: "Quiero ser socio" y "Conoce nuestros servicios"</t>
  </si>
  <si>
    <t>Imagen optimizada que no afecte la velocidad de carga</t>
  </si>
  <si>
    <t>HU04 - Secciones informativas del club
Como visitante quiero conocer el club, sus servicios e instalaciones para decidir si me interesa inscribirme como socio.</t>
  </si>
  <si>
    <t>Sección "Nosotros" con reseña, misión y visión del club</t>
  </si>
  <si>
    <t>Angular (componentes por sección).
Bootstrap 5 (cards, grid), SCSS.</t>
  </si>
  <si>
    <t>Sección "Servicios" en tarjetas: amarre de embarcaciones (rada), limpieza de nave, cabotaje, traslado de nave, cafetería e instructores de natación, navegación y buceo</t>
  </si>
  <si>
    <t>Sección "Instalaciones": piscinas, salones de relajación, cafeterías y salones de fiestas</t>
  </si>
  <si>
    <t>Al hacer clic en el menú, la página se desplaza a la sección correspondiente</t>
  </si>
  <si>
    <t>HU05 - Contacto y diseño adaptable (responsive)
Como visitante quiero contactar al club y ver el sitio correctamente desde mi celular para resolver mis dudas desde cualquier dispositivo.</t>
  </si>
  <si>
    <t>Sección de contacto con dirección, teléfono, correo y horario de atención</t>
  </si>
  <si>
    <t>Angular (Reactive Forms).
Bootstrap 5 (grid, breakpoints), SCSS (media queries).</t>
  </si>
  <si>
    <t>Formulario de consulta con validación de campos (nombre, correo y mensaje)</t>
  </si>
  <si>
    <t>Referencia de ubicación del club (mapa o dirección)</t>
  </si>
  <si>
    <t>Home probado en móvil, tablet y escritorio sin desbordes de contenido</t>
  </si>
  <si>
    <t>Acceso al Sistema y Roles de Usuario:
Permitir el ingreso seguro al sistema según el perfil de cada usuario del club.</t>
  </si>
  <si>
    <t>HU06 - Inicio de sesión
Como usuario del sistema (socio o personal del club) quiero iniciar sesión con mi usuario y contraseña para acceder a las funciones de mi perfil.</t>
  </si>
  <si>
    <t>Formulario de inicio de sesión con validación de campos obligatorios</t>
  </si>
  <si>
    <t>Angular (RouterModule, Guards).
Bootstrap 5, SCSS.
Datos: API REST (por definir con el equipo).</t>
  </si>
  <si>
    <t>03/10/26 al 09/10/26</t>
  </si>
  <si>
    <t>Mensaje claro cuando las credenciales son incorrectas</t>
  </si>
  <si>
    <t>Sesión persistente y opción de cerrar sesión</t>
  </si>
  <si>
    <t>Recuperación de contraseña mediante correo electrónico</t>
  </si>
  <si>
    <t>HU07 - Roles y permisos
Como Gerente General quiero que cada área acceda solo a sus funciones para mantener la seguridad de la información del club.</t>
  </si>
  <si>
    <t>Roles definidos: Gerente General, Atención al Cliente, Servicios Navieros, Administración y Socio</t>
  </si>
  <si>
    <t>10/10/26 al 16/10/26</t>
  </si>
  <si>
    <t>Menú de opciones distinto según el rol del usuario</t>
  </si>
  <si>
    <t>Rutas protegidas (guards) que impiden entrar a pantallas no autorizadas</t>
  </si>
  <si>
    <t>Redirección al panel correspondiente después de iniciar sesión</t>
  </si>
  <si>
    <t>Inscripción y Aprobación de Socios:
Digitalizar la solicitud, verificación y aprobación de nuevos socios, evitando dobles inscripciones.</t>
  </si>
  <si>
    <t>HU08 - Solicitar inscripción como socio
Como postulante quiero llenar la solicitud de inscripción en línea para iniciar mi proceso de ingreso al club.</t>
  </si>
  <si>
    <t>Formulario con datos personales, contacto y documento de identidad</t>
  </si>
  <si>
    <t>Angular (Reactive Forms, RouterModule).
Bootstrap 5, SCSS.
Datos: API REST (por definir con el equipo).</t>
  </si>
  <si>
    <t>17/10/26 al 23/10/26</t>
  </si>
  <si>
    <t>Versión 2: Socios, embarcaciones y salidas</t>
  </si>
  <si>
    <t>Campo para indicar si posee embarcaciones (no es obligatorio para ser socio)</t>
  </si>
  <si>
    <t>Validación de datos obligatorios y de formato (DNI, correo y teléfono)</t>
  </si>
  <si>
    <t>Constancia de registro de la solicitud con número de seguimiento</t>
  </si>
  <si>
    <t>HU09 - Verificar y clasificar al postulante
Como secretaria de Atención al Cliente quiero verificar la solicitud y clasificar al postulante para que solo se acepten socios de tipo "pagador".</t>
  </si>
  <si>
    <t>Bandeja de solicitudes pendientes de verificación</t>
  </si>
  <si>
    <t>17/10/26 al 30/10/26</t>
  </si>
  <si>
    <t>Alerta automática cuando el documento de identidad ya está registrado (evita la doble inscripción)</t>
  </si>
  <si>
    <t>Registro del resultado de la verificación con otros clubes</t>
  </si>
  <si>
    <t>Clasificación del postulante: pagador, pagador esporádico o renuente a pago</t>
  </si>
  <si>
    <t>Solo las solicitudes de tipo "pagador" pasan a la aprobación del Jefe</t>
  </si>
  <si>
    <t>HU10 - Aprobar o desaprobar solicitud
Como Jefe de Atención al Cliente quiero aprobar o desaprobar solicitudes para incorporar únicamente a postulantes que cumplan la política del club.</t>
  </si>
  <si>
    <t>Bandeja de solicitudes verificadas pendientes de decisión</t>
  </si>
  <si>
    <t>24/10/26 al 30/10/26</t>
  </si>
  <si>
    <t>Al aprobar, se otorga el rango de "Socio" y se activa su usuario</t>
  </si>
  <si>
    <t>Al desaprobar, es obligatorio registrar los motivos y se genera un documento descargable (PDF) para el postulante</t>
  </si>
  <si>
    <t>Notificación por correo al postulante con el resultado</t>
  </si>
  <si>
    <t>Embarcaciones y Radas:
Registrar las embarcaciones de los socios y asignar la rada (lugar de amarre) adecuada a cada una.</t>
  </si>
  <si>
    <t>HU11 - Registrar embarcación
Como socio quiero registrar mis embarcaciones en la ficha de "Registro de Embarcación" para que el club les asigne un lugar de amarre.</t>
  </si>
  <si>
    <t>Una ficha por cada embarcación (nombre, matrícula, tipo, eslora, manga y calado)</t>
  </si>
  <si>
    <t>31/10/26 al 06/11/26</t>
  </si>
  <si>
    <t>Un socio puede registrar varias embarcaciones</t>
  </si>
  <si>
    <t>Carga de documentos de la nave (matrícula y certificados)</t>
  </si>
  <si>
    <t>Estado de la ficha visible para el socio: pendiente, verificada u observada</t>
  </si>
  <si>
    <t>HU12 - Verificar embarcación en Capitanías
Como personal de Servicios Navieros quiero verificar los datos de la nave en los registros de la Dirección de Capitanías y Guardacostas para asegurar que la información es correcta.</t>
  </si>
  <si>
    <t>Bandeja de fichas pendientes de verificación</t>
  </si>
  <si>
    <t>31/10/26 al 13/11/26</t>
  </si>
  <si>
    <t>Registro del resultado (conforme u observada) con sus observaciones</t>
  </si>
  <si>
    <t>Notificación al socio cuando la ficha es observada para que la subsane</t>
  </si>
  <si>
    <t>Solo las embarcaciones verificadas pueden asignarse a una rada</t>
  </si>
  <si>
    <t>HU13 - Asignar rada
Como personal de Servicios Navieros quiero asignar la rada según el tamaño y características de la nave para aprovechar mejor los amarres disponibles.</t>
  </si>
  <si>
    <t>Listado de radas con su estado (libre u ocupada) y dimensiones</t>
  </si>
  <si>
    <t>07/11/26 al 13/11/26</t>
  </si>
  <si>
    <t>Sugerencia de radas compatibles con las medidas de la embarcación</t>
  </si>
  <si>
    <t>Asignación y liberación de rada con historial de cambios</t>
  </si>
  <si>
    <t>Constancia de asignación disponible para el socio</t>
  </si>
  <si>
    <t>Salidas de Embarcaciones:
Controlar los permisos de salida de las naves para evitar demoras y retenciones por documentación incompleta.</t>
  </si>
  <si>
    <t>HU14 - Solicitar permiso de salida
Como socio quiero solicitar en línea el permiso de salida de mi embarcación para evitar demoras al navegar.</t>
  </si>
  <si>
    <t>Formulario con fecha de partida, fecha de retorno e itinerario de viaje</t>
  </si>
  <si>
    <t>14/11/26 al 20/11/26</t>
  </si>
  <si>
    <t>Registro de las personas que abordarán la nave (nombre y documento)</t>
  </si>
  <si>
    <t>Selección de tripulación especializada registrada y autorizada</t>
  </si>
  <si>
    <t>Si el socio tiene cuotas vencidas, se muestra la deuda con su interés y se exige su pago antes de aprobar la salida</t>
  </si>
  <si>
    <t>HU15 - Validar documentación y aprobar salida
Como personal de Servicios Navieros quiero validar los datos y documentos de cada salida para prevenir retenciones por parte de la autoridad marítima.</t>
  </si>
  <si>
    <t>Bandeja de solicitudes de salida pendientes</t>
  </si>
  <si>
    <t>14/11/26 al 27/11/26</t>
  </si>
  <si>
    <t>Lista de verificación de documentos de la nave y de la tripulación</t>
  </si>
  <si>
    <t>Aprobación o rechazo con observaciones y notificación al socio</t>
  </si>
  <si>
    <t>Permiso confirmado con código de salida</t>
  </si>
  <si>
    <t>HU16 - Registrar salida y retorno
Como personal de Servicios Navieros quiero registrar la salida y el retorno de las embarcaciones para mantener un control actualizado.</t>
  </si>
  <si>
    <t>Registro de fecha y hora de salida y de retorno por embarcación</t>
  </si>
  <si>
    <t>21/11/26 al 27/11/26</t>
  </si>
  <si>
    <t>Alerta de embarcaciones con retorno vencido</t>
  </si>
  <si>
    <t>Historial de salidas por embarcación y por socio</t>
  </si>
  <si>
    <t>Reporte de salidas por rango de fechas</t>
  </si>
  <si>
    <t>Servicios del Club y Facturación:
Registrar los servicios usados por los socios y emitir la facturación mensual.</t>
  </si>
  <si>
    <t>HU17 - Registrar servicios adicionales
Como personal del club quiero registrar los servicios adicionales que usa un socio para incluirlos en su facturación.</t>
  </si>
  <si>
    <t>Catálogo de servicios con precio: limpieza de nave, cabotaje, traslado de nave, cafetería e instructores de natación, navegación y buceo</t>
  </si>
  <si>
    <t>28/11/26 al 04/12/26</t>
  </si>
  <si>
    <t>Versión 3: Facturación, cobranzas y reportes</t>
  </si>
  <si>
    <t>Registro del servicio con fecha, socio y cantidad</t>
  </si>
  <si>
    <t>Consulta de los servicios registrados desde la cuenta del socio</t>
  </si>
  <si>
    <t>Anulación o edición con justificación antes del cierre del mes</t>
  </si>
  <si>
    <t>HU18 - Emitir facturación mensual
Como Departamento de Facturación quiero emitir el recibo mensual de cada socio para cobrar la membresía, la rada y los servicios.</t>
  </si>
  <si>
    <t>Cálculo automático de membresía, rada por cada embarcación y servicios adicionales</t>
  </si>
  <si>
    <t>28/11/26 al 11/12/26</t>
  </si>
  <si>
    <t>Recibo con detalle por rubro y total a pagar</t>
  </si>
  <si>
    <t>Emisión masiva mensual para todos los socios activos</t>
  </si>
  <si>
    <t>Descarga del recibo en PDF y envío por correo electrónico</t>
  </si>
  <si>
    <t>HU19 - Facturación diferida
Como socio quiero pagar mis servicios en cuotas para distribuir mi gasto mensual.</t>
  </si>
  <si>
    <t>Solicitud de pago diferido sobre los servicios del mes</t>
  </si>
  <si>
    <t>05/12/26 al 11/12/26</t>
  </si>
  <si>
    <t>Máximo de 6 cuotas mensuales, validado en el formulario</t>
  </si>
  <si>
    <t>Cronograma de cuotas con fechas y montos</t>
  </si>
  <si>
    <t>Las cuotas se incluyen en los recibos de los meses siguientes</t>
  </si>
  <si>
    <t>Cobranzas y Retiro de Socios:
Controlar los pagos y la morosidad, y gestionar el retiro formal de socios del club.</t>
  </si>
  <si>
    <t>HU20 - Registrar pagos e intereses por mora
Como Departamento de Cobranzas quiero registrar los pagos y calcular los intereses por atraso para mantener al día las cuentas de los socios.</t>
  </si>
  <si>
    <t>Registro de pago con fecha, monto y medio de pago</t>
  </si>
  <si>
    <t>12/12/26 al 25/12/26</t>
  </si>
  <si>
    <t>Cálculo automático del interés moratorio con la tasa bancaria de referencia de la SBS (tasa configurable)</t>
  </si>
  <si>
    <t>Estado de cuenta por socio con deuda, intereses y pagos realizados</t>
  </si>
  <si>
    <t>Aviso de deuda pendiente cuando el socio solicita usar su embarcación</t>
  </si>
  <si>
    <t>HU21 - Solicitar retiro del club
Como socio quiero presentar mi solicitud de retiro en línea para dejar de pertenecer al club.</t>
  </si>
  <si>
    <t>Formulario de "Solicitud de Retiro" con el motivo del retiro</t>
  </si>
  <si>
    <t>12/12/26 al 18/12/26</t>
  </si>
  <si>
    <t>Constancia de recepción de la solicitud</t>
  </si>
  <si>
    <t>Seguimiento del estado de la solicitud por el socio</t>
  </si>
  <si>
    <t>Notificación al área de Atención al Cliente</t>
  </si>
  <si>
    <t>HU22 - Liquidación administrativa y baja de socio
Como Atención al Cliente quiero generar la liquidación administrativa del socio que se retira para cobrar sus pagos pendientes antes de darlo de baja.</t>
  </si>
  <si>
    <t>Liquidación automática con cuotas, intereses, servicios y radas pendientes</t>
  </si>
  <si>
    <t>19/12/26 al 25/12/26</t>
  </si>
  <si>
    <t>Documento de liquidación descargable en PDF</t>
  </si>
  <si>
    <t>Baja del socio solo cuando su deuda es cero</t>
  </si>
  <si>
    <t>El socio dado de baja queda en el histórico (no se elimina)</t>
  </si>
  <si>
    <t>Atención al Cliente y Reportes Gerenciales:
Gestionar las quejas de los socios y brindar información para la toma de decisiones.</t>
  </si>
  <si>
    <t>HU23 - Registrar y atender quejas
Como socio quiero registrar una queja o reclamo para que el club atienda mi problema.</t>
  </si>
  <si>
    <t>Formulario de queja con categoría, descripción y adjuntos</t>
  </si>
  <si>
    <t>26/12/26 al 01/01/27</t>
  </si>
  <si>
    <t>Número de seguimiento y estado de la queja (registrada, en atención o resuelta)</t>
  </si>
  <si>
    <t>El Departamento de Quejas responde y cierra la queja con la solución dada</t>
  </si>
  <si>
    <t>Notificación al socio en cada cambio de estado</t>
  </si>
  <si>
    <t>HU24 - Reportes y panel gerencial
Como Gerente General quiero visualizar reportes e indicadores para tomar decisiones sobre la gestión del club.</t>
  </si>
  <si>
    <t>Panel con socios activos, embarcaciones y radas ocupadas</t>
  </si>
  <si>
    <t>Angular, Bootstrap 5, SCSS.
Gráficos: Chart.js (por confirmar).
Datos: API REST (por definir con el equipo).</t>
  </si>
  <si>
    <t>26/12/26 al 08/01/27</t>
  </si>
  <si>
    <t>Reporte de facturación y cobranzas por mes</t>
  </si>
  <si>
    <t>Reporte de morosidad y de quejas atendidas</t>
  </si>
  <si>
    <t>Exportación de reportes a Excel y PDF</t>
  </si>
  <si>
    <t>FASES DE DESARROLLO</t>
  </si>
  <si>
    <t>Cada sprint dura 2 semanas, contadas desde el 19/09/26 (inicio del Sprint 1, Home page).</t>
  </si>
  <si>
    <t>Fechas</t>
  </si>
  <si>
    <t>Épica</t>
  </si>
  <si>
    <t>Objetivo del sprint</t>
  </si>
  <si>
    <t>Entregable / Hito</t>
  </si>
  <si>
    <t>Home Page y Base del Sistema Web</t>
  </si>
  <si>
    <t>Configurar el proyecto (Angular, Bootstrap, SCSS, Git/GitHub) y construir el Home page.</t>
  </si>
  <si>
    <t>Home page responsive publicado en la rama develop; repositorio con commits de todos los integrantes.</t>
  </si>
  <si>
    <t>03/10/26 al 16/10/26</t>
  </si>
  <si>
    <t>Acceso al Sistema y Roles de Usuario</t>
  </si>
  <si>
    <t>Implementar inicio de sesión y control de acceso por rol.</t>
  </si>
  <si>
    <t>Login funcional y menús por rol.</t>
  </si>
  <si>
    <t>Inscripción y Aprobación de Socios</t>
  </si>
  <si>
    <t>Digitalizar la inscripción, verificación y aprobación de socios.</t>
  </si>
  <si>
    <t>Flujo completo de solicitud → verificación → aprobación/desaprobación.</t>
  </si>
  <si>
    <t>Embarcaciones y Radas</t>
  </si>
  <si>
    <t>Registrar embarcaciones, verificarlas y asignar radas.</t>
  </si>
  <si>
    <t>Ficha de embarcación y asignación de rada.</t>
  </si>
  <si>
    <t>Salidas de Embarcaciones</t>
  </si>
  <si>
    <t>Gestionar permisos de salida y el registro de salidas y retornos.</t>
  </si>
  <si>
    <t>Solicitud, validación y registro de salidas.</t>
  </si>
  <si>
    <t>Servicios del Club y Facturación</t>
  </si>
  <si>
    <t>Registrar servicios adicionales y emitir la facturación mensual y diferida.</t>
  </si>
  <si>
    <t>Recibos mensuales con membresía, rada y servicios.</t>
  </si>
  <si>
    <t>Cobranzas y Retiro de Socios</t>
  </si>
  <si>
    <t>Registrar pagos, calcular intereses por mora y tramitar retiros con liquidación.</t>
  </si>
  <si>
    <t>Estado de cuenta, liquidación administrativa y baja de socio.</t>
  </si>
  <si>
    <t>Atención al Cliente y Reportes Gerenciales</t>
  </si>
  <si>
    <t>Gestionar quejas y ofrecer reportes para la gerencia; cierre y pruebas finales.</t>
  </si>
  <si>
    <t>Módulo de quejas, panel gerencial y versión final del sistema.</t>
  </si>
  <si>
    <t>EQUIPO DEL PROYECTO</t>
  </si>
  <si>
    <t>Cómo usar esta hoja: escribe los datos de cada integrante en las celdas amarillas. Los nombres de la columna B se actualizan solos en PLANIFICACION y RESUMEN.</t>
  </si>
  <si>
    <t>N°</t>
  </si>
  <si>
    <t>Nombre completo</t>
  </si>
  <si>
    <t>Rol en el proyecto</t>
  </si>
  <si>
    <t>Usuario de GitHub</t>
  </si>
  <si>
    <t>Correo</t>
  </si>
  <si>
    <t>Ej.</t>
  </si>
  <si>
    <t>Ana Torres Quispe</t>
  </si>
  <si>
    <t>Scrum Master y desarrollador</t>
  </si>
  <si>
    <t>anatorres-dev</t>
  </si>
  <si>
    <t>ana.torres@correo.com</t>
  </si>
  <si>
    <t>Jose Espinoza Rivadeneira</t>
  </si>
  <si>
    <t>Header, Footer y Hero (Home)</t>
  </si>
  <si>
    <t>Jack</t>
  </si>
  <si>
    <t>Secciones informativas y Contacto (Home)</t>
  </si>
  <si>
    <t>Nota: el plan está repartido entre 2 integrantes (12 historias de usuario cada uno). En el Sprint 1 (Home page): Jose desarrolla Header, Footer y Hero (HU01-HU03); Jack desarrolla las secciones informativas y Contacto (HU04-HU05). Si el equipo cambia de tamaño, reasigna la columna "Recurso Responsable" en PLANIFICACION (lista desplegable).</t>
  </si>
  <si>
    <t>RESUMEN DE AVANCE</t>
  </si>
  <si>
    <t>Se calcula automáticamente con la columna Estado de PLANIFICACION (cada fila = un criterio de aceptación).</t>
  </si>
  <si>
    <t>Avance por sprint</t>
  </si>
  <si>
    <t>Criterios totales</t>
  </si>
  <si>
    <t>Completado</t>
  </si>
  <si>
    <t>En proceso</t>
  </si>
  <si>
    <t>% avance</t>
  </si>
  <si>
    <t>TOTAL</t>
  </si>
  <si>
    <t>Historias de usuario por integrante</t>
  </si>
  <si>
    <t>Integrante</t>
  </si>
  <si>
    <t>HU asignadas</t>
  </si>
  <si>
    <t>HU en Sprint 1</t>
  </si>
  <si>
    <t>% del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</si>
</sst>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print &quot;0"/>
  </numFmts>
  <fonts count="13" x14ac:knownFonts="1">
    <font>
      <sz val="11"/>
      <color theme="1"/>
      <name val="Calibri"/>
      <family val="2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3"/>
      <color rgb="FFFFFFFF"/>
      <name val="Times New Roman"/>
      <charset val="1"/>
    </font>
    <font>
      <b/>
      <sz val="11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6"/>
      <color rgb="FFFFFFFF"/>
      <name val="Times New Roman"/>
      <charset val="1"/>
    </font>
    <font>
      <i/>
      <sz val="11"/>
      <color rgb="FF000000"/>
      <name val="Times New Roman"/>
      <charset val="1"/>
    </font>
    <font>
      <i/>
      <sz val="11"/>
      <color rgb="FF7F7F7F"/>
      <name val="Times New Roman"/>
      <charset val="1"/>
    </font>
    <font>
      <b/>
      <sz val="13"/>
      <color rgb="FF134F5C"/>
      <name val="Times New Roman"/>
      <charset val="1"/>
    </font>
    <font>
      <b/>
      <sz val="12"/>
      <color rgb="FFFFFFFF"/>
      <name val="Times New Roman"/>
      <charset val="1"/>
    </font>
    <font>
      <u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34F5C"/>
        <bgColor rgb="FF1E5B1E"/>
      </patternFill>
    </fill>
    <fill>
      <patternFill patternType="solid">
        <fgColor rgb="FFEAF2F4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2F4"/>
      </patternFill>
    </fill>
    <fill>
      <patternFill patternType="solid">
        <fgColor rgb="FFFFF2CC"/>
        <bgColor rgb="FFF2F2F2"/>
      </patternFill>
    </fill>
    <fill>
      <patternFill patternType="solid">
        <fgColor rgb="FFD9E2E4"/>
        <bgColor rgb="FFEAF2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34F5C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 indent="1"/>
    </xf>
    <xf numFmtId="0" fontId="9" fillId="0" borderId="0" xfId="0" applyFont="1"/>
    <xf numFmtId="0" fontId="10" fillId="2" borderId="2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9" fontId="4" fillId="7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 wrapText="1" indent="1"/>
    </xf>
    <xf numFmtId="0" fontId="12" fillId="3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/>
  </cellXfs>
  <cellStyles count="1">
    <cellStyle name="Normal" xfId="0" builtinId="0"/>
  </cellStyles>
  <dxfs count="3">
    <dxf>
      <font>
        <b/>
        <color rgb="FF843C0C"/>
        <name val="Times New Roman"/>
        <charset val="1"/>
      </font>
      <fill>
        <patternFill>
          <bgColor rgb="FFF8CBAD"/>
        </patternFill>
      </fill>
    </dxf>
    <dxf>
      <font>
        <b/>
        <color rgb="FF7F6000"/>
        <name val="Times New Roman"/>
        <charset val="1"/>
      </font>
      <fill>
        <patternFill>
          <bgColor rgb="FFFFE699"/>
        </patternFill>
      </fill>
    </dxf>
    <dxf>
      <font>
        <b/>
        <color rgb="FF1E5B1E"/>
        <name val="Times New Roman"/>
        <charset val="1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EAF2F4"/>
      <rgbColor rgb="FF660066"/>
      <rgbColor rgb="FFFF8080"/>
      <rgbColor rgb="FF0066CC"/>
      <rgbColor rgb="FFD9E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4F5C"/>
      <rgbColor rgb="FF339966"/>
      <rgbColor rgb="FF003300"/>
      <rgbColor rgb="FF333300"/>
      <rgbColor rgb="FF843C0C"/>
      <rgbColor rgb="FF993366"/>
      <rgbColor rgb="FF333399"/>
      <rgbColor rgb="FF1E5B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2"/>
  <sheetViews>
    <sheetView showGridLines="0" tabSelected="1" zoomScale="63" zoomScaleNormal="100" workbookViewId="0">
      <pane ySplit="5" topLeftCell="A13" activePane="bottomLeft" state="frozen"/>
      <selection pane="bottomLeft" activeCell="E9" sqref="E9"/>
    </sheetView>
  </sheetViews>
  <sheetFormatPr baseColWidth="10" defaultColWidth="8.6640625" defaultRowHeight="14.4" x14ac:dyDescent="0.3"/>
  <cols>
    <col min="1" max="1" width="36" customWidth="1"/>
    <col min="2" max="2" width="9" customWidth="1"/>
    <col min="3" max="3" width="48" customWidth="1"/>
    <col min="4" max="4" width="54" customWidth="1"/>
    <col min="5" max="5" width="14" customWidth="1"/>
    <col min="6" max="6" width="40" customWidth="1"/>
    <col min="7" max="8" width="21" customWidth="1"/>
    <col min="9" max="9" width="30" customWidth="1"/>
  </cols>
  <sheetData>
    <row r="1" spans="1:9" ht="21.75" customHeight="1" x14ac:dyDescent="0.3">
      <c r="A1" s="1" t="s">
        <v>0</v>
      </c>
      <c r="B1" s="31" t="s">
        <v>1</v>
      </c>
      <c r="C1" s="31"/>
      <c r="D1" s="31"/>
    </row>
    <row r="2" spans="1:9" ht="21.75" customHeight="1" x14ac:dyDescent="0.3">
      <c r="A2" s="1" t="s">
        <v>2</v>
      </c>
      <c r="B2" s="31" t="s">
        <v>3</v>
      </c>
      <c r="C2" s="31"/>
      <c r="D2" s="31"/>
    </row>
    <row r="3" spans="1:9" ht="21.75" customHeight="1" x14ac:dyDescent="0.3">
      <c r="A3" s="1" t="s">
        <v>4</v>
      </c>
      <c r="B3" s="31" t="str">
        <f>EQUIPO!$B$7</f>
        <v>Jose Espinoza Rivadeneira</v>
      </c>
      <c r="C3" s="31"/>
      <c r="D3" s="31"/>
    </row>
    <row r="4" spans="1:9" ht="9.75" customHeight="1" x14ac:dyDescent="0.3"/>
    <row r="5" spans="1:9" ht="33.75" customHeigh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</row>
    <row r="6" spans="1:9" ht="52.5" customHeight="1" x14ac:dyDescent="0.3">
      <c r="A6" s="32" t="s">
        <v>14</v>
      </c>
      <c r="B6" s="3">
        <v>1</v>
      </c>
      <c r="C6" s="33" t="s">
        <v>15</v>
      </c>
      <c r="D6" s="4" t="s">
        <v>16</v>
      </c>
      <c r="E6" s="3" t="s">
        <v>229</v>
      </c>
      <c r="F6" s="34" t="s">
        <v>18</v>
      </c>
      <c r="G6" s="35" t="s">
        <v>19</v>
      </c>
      <c r="H6" s="35" t="str">
        <f>EQUIPO!$B$7</f>
        <v>Jose Espinoza Rivadeneira</v>
      </c>
      <c r="I6" s="34" t="s">
        <v>20</v>
      </c>
    </row>
    <row r="7" spans="1:9" ht="37.5" customHeight="1" x14ac:dyDescent="0.3">
      <c r="A7" s="32"/>
      <c r="B7" s="5">
        <v>1</v>
      </c>
      <c r="C7" s="34"/>
      <c r="D7" s="6" t="s">
        <v>21</v>
      </c>
      <c r="E7" s="5" t="s">
        <v>229</v>
      </c>
      <c r="F7" s="34"/>
      <c r="G7" s="35"/>
      <c r="H7" s="35"/>
      <c r="I7" s="34"/>
    </row>
    <row r="8" spans="1:9" ht="52.5" customHeight="1" x14ac:dyDescent="0.3">
      <c r="A8" s="32"/>
      <c r="B8" s="5">
        <v>1</v>
      </c>
      <c r="C8" s="34"/>
      <c r="D8" s="6" t="s">
        <v>22</v>
      </c>
      <c r="E8" s="5" t="s">
        <v>229</v>
      </c>
      <c r="F8" s="34"/>
      <c r="G8" s="35"/>
      <c r="H8" s="35"/>
      <c r="I8" s="34"/>
    </row>
    <row r="9" spans="1:9" ht="22.5" customHeight="1" x14ac:dyDescent="0.3">
      <c r="A9" s="32"/>
      <c r="B9" s="5">
        <v>1</v>
      </c>
      <c r="C9" s="34"/>
      <c r="D9" s="6" t="s">
        <v>23</v>
      </c>
      <c r="E9" s="5" t="s">
        <v>229</v>
      </c>
      <c r="F9" s="34"/>
      <c r="G9" s="35"/>
      <c r="H9" s="35"/>
      <c r="I9" s="34"/>
    </row>
    <row r="10" spans="1:9" ht="37.5" customHeight="1" x14ac:dyDescent="0.3">
      <c r="A10" s="32"/>
      <c r="B10" s="3">
        <v>1</v>
      </c>
      <c r="C10" s="33" t="s">
        <v>24</v>
      </c>
      <c r="D10" s="4" t="s">
        <v>25</v>
      </c>
      <c r="E10" s="3" t="s">
        <v>229</v>
      </c>
      <c r="F10" s="34" t="s">
        <v>26</v>
      </c>
      <c r="G10" s="35" t="s">
        <v>27</v>
      </c>
      <c r="H10" s="35" t="str">
        <f>EQUIPO!$B$7</f>
        <v>Jose Espinoza Rivadeneira</v>
      </c>
      <c r="I10" s="34" t="s">
        <v>20</v>
      </c>
    </row>
    <row r="11" spans="1:9" ht="37.5" customHeight="1" x14ac:dyDescent="0.3">
      <c r="A11" s="32"/>
      <c r="B11" s="5">
        <v>1</v>
      </c>
      <c r="C11" s="34"/>
      <c r="D11" s="6" t="s">
        <v>28</v>
      </c>
      <c r="E11" s="5" t="s">
        <v>230</v>
      </c>
      <c r="F11" s="34"/>
      <c r="G11" s="35"/>
      <c r="H11" s="35"/>
      <c r="I11" s="34"/>
    </row>
    <row r="12" spans="1:9" ht="37.5" customHeight="1" x14ac:dyDescent="0.3">
      <c r="A12" s="32"/>
      <c r="B12" s="5">
        <v>1</v>
      </c>
      <c r="C12" s="34"/>
      <c r="D12" s="6" t="s">
        <v>29</v>
      </c>
      <c r="E12" s="5" t="s">
        <v>229</v>
      </c>
      <c r="F12" s="34"/>
      <c r="G12" s="35"/>
      <c r="H12" s="35"/>
      <c r="I12" s="34"/>
    </row>
    <row r="13" spans="1:9" ht="37.5" customHeight="1" x14ac:dyDescent="0.3">
      <c r="A13" s="32"/>
      <c r="B13" s="5">
        <v>1</v>
      </c>
      <c r="C13" s="34"/>
      <c r="D13" s="6" t="s">
        <v>30</v>
      </c>
      <c r="E13" s="5" t="s">
        <v>229</v>
      </c>
      <c r="F13" s="34"/>
      <c r="G13" s="35"/>
      <c r="H13" s="35"/>
      <c r="I13" s="34"/>
    </row>
    <row r="14" spans="1:9" ht="37.5" customHeight="1" x14ac:dyDescent="0.3">
      <c r="A14" s="32"/>
      <c r="B14" s="3">
        <v>1</v>
      </c>
      <c r="C14" s="33" t="s">
        <v>31</v>
      </c>
      <c r="D14" s="4" t="s">
        <v>32</v>
      </c>
      <c r="E14" s="3" t="s">
        <v>229</v>
      </c>
      <c r="F14" s="34" t="s">
        <v>33</v>
      </c>
      <c r="G14" s="35" t="s">
        <v>34</v>
      </c>
      <c r="H14" s="35" t="str">
        <f>EQUIPO!$B$7</f>
        <v>Jose Espinoza Rivadeneira</v>
      </c>
      <c r="I14" s="34" t="s">
        <v>20</v>
      </c>
    </row>
    <row r="15" spans="1:9" ht="22.5" customHeight="1" x14ac:dyDescent="0.3">
      <c r="A15" s="32"/>
      <c r="B15" s="5">
        <v>1</v>
      </c>
      <c r="C15" s="34"/>
      <c r="D15" s="6" t="s">
        <v>35</v>
      </c>
      <c r="E15" s="5" t="s">
        <v>229</v>
      </c>
      <c r="F15" s="34"/>
      <c r="G15" s="35"/>
      <c r="H15" s="35"/>
      <c r="I15" s="34"/>
    </row>
    <row r="16" spans="1:9" ht="37.5" customHeight="1" x14ac:dyDescent="0.3">
      <c r="A16" s="32"/>
      <c r="B16" s="5">
        <v>1</v>
      </c>
      <c r="C16" s="34"/>
      <c r="D16" s="6" t="s">
        <v>36</v>
      </c>
      <c r="E16" s="5" t="s">
        <v>229</v>
      </c>
      <c r="F16" s="34"/>
      <c r="G16" s="35"/>
      <c r="H16" s="35"/>
      <c r="I16" s="34"/>
    </row>
    <row r="17" spans="1:9" ht="37.5" customHeight="1" x14ac:dyDescent="0.3">
      <c r="A17" s="32"/>
      <c r="B17" s="5">
        <v>1</v>
      </c>
      <c r="C17" s="34"/>
      <c r="D17" s="6" t="s">
        <v>37</v>
      </c>
      <c r="E17" s="5" t="s">
        <v>229</v>
      </c>
      <c r="F17" s="34"/>
      <c r="G17" s="35"/>
      <c r="H17" s="35"/>
      <c r="I17" s="34"/>
    </row>
    <row r="18" spans="1:9" ht="37.5" customHeight="1" x14ac:dyDescent="0.3">
      <c r="A18" s="32"/>
      <c r="B18" s="3">
        <v>1</v>
      </c>
      <c r="C18" s="33" t="s">
        <v>38</v>
      </c>
      <c r="D18" s="4" t="s">
        <v>39</v>
      </c>
      <c r="E18" s="3" t="s">
        <v>229</v>
      </c>
      <c r="F18" s="34" t="s">
        <v>40</v>
      </c>
      <c r="G18" s="35" t="s">
        <v>34</v>
      </c>
      <c r="H18" s="35" t="str">
        <f>EQUIPO!$B$8</f>
        <v>Jack</v>
      </c>
      <c r="I18" s="34" t="s">
        <v>20</v>
      </c>
    </row>
    <row r="19" spans="1:9" ht="67.5" customHeight="1" x14ac:dyDescent="0.3">
      <c r="A19" s="32"/>
      <c r="B19" s="5">
        <v>1</v>
      </c>
      <c r="C19" s="34"/>
      <c r="D19" s="6" t="s">
        <v>41</v>
      </c>
      <c r="E19" s="5" t="s">
        <v>229</v>
      </c>
      <c r="F19" s="34"/>
      <c r="G19" s="35"/>
      <c r="H19" s="35"/>
      <c r="I19" s="34"/>
    </row>
    <row r="20" spans="1:9" ht="37.5" customHeight="1" x14ac:dyDescent="0.3">
      <c r="A20" s="32"/>
      <c r="B20" s="5">
        <v>1</v>
      </c>
      <c r="C20" s="34"/>
      <c r="D20" s="6" t="s">
        <v>42</v>
      </c>
      <c r="E20" s="5" t="s">
        <v>229</v>
      </c>
      <c r="F20" s="34"/>
      <c r="G20" s="35"/>
      <c r="H20" s="35"/>
      <c r="I20" s="34"/>
    </row>
    <row r="21" spans="1:9" ht="37.5" customHeight="1" x14ac:dyDescent="0.3">
      <c r="A21" s="32"/>
      <c r="B21" s="5">
        <v>1</v>
      </c>
      <c r="C21" s="34"/>
      <c r="D21" s="6" t="s">
        <v>43</v>
      </c>
      <c r="E21" s="5" t="s">
        <v>230</v>
      </c>
      <c r="F21" s="34"/>
      <c r="G21" s="35"/>
      <c r="H21" s="35"/>
      <c r="I21" s="34"/>
    </row>
    <row r="22" spans="1:9" ht="37.5" customHeight="1" x14ac:dyDescent="0.3">
      <c r="A22" s="32"/>
      <c r="B22" s="3">
        <v>1</v>
      </c>
      <c r="C22" s="33" t="s">
        <v>44</v>
      </c>
      <c r="D22" s="4" t="s">
        <v>45</v>
      </c>
      <c r="E22" s="3" t="s">
        <v>229</v>
      </c>
      <c r="F22" s="34" t="s">
        <v>46</v>
      </c>
      <c r="G22" s="35" t="s">
        <v>34</v>
      </c>
      <c r="H22" s="35" t="str">
        <f>EQUIPO!$B$8</f>
        <v>Jack</v>
      </c>
      <c r="I22" s="34" t="s">
        <v>20</v>
      </c>
    </row>
    <row r="23" spans="1:9" ht="37.5" customHeight="1" x14ac:dyDescent="0.3">
      <c r="A23" s="32"/>
      <c r="B23" s="5">
        <v>1</v>
      </c>
      <c r="C23" s="34"/>
      <c r="D23" s="6" t="s">
        <v>47</v>
      </c>
      <c r="E23" s="5" t="s">
        <v>229</v>
      </c>
      <c r="F23" s="34"/>
      <c r="G23" s="35"/>
      <c r="H23" s="35"/>
      <c r="I23" s="34"/>
    </row>
    <row r="24" spans="1:9" ht="37.5" customHeight="1" x14ac:dyDescent="0.3">
      <c r="A24" s="32"/>
      <c r="B24" s="5">
        <v>1</v>
      </c>
      <c r="C24" s="34"/>
      <c r="D24" s="6" t="s">
        <v>48</v>
      </c>
      <c r="E24" s="5" t="s">
        <v>17</v>
      </c>
      <c r="F24" s="34"/>
      <c r="G24" s="35"/>
      <c r="H24" s="35"/>
      <c r="I24" s="34"/>
    </row>
    <row r="25" spans="1:9" ht="37.5" customHeight="1" x14ac:dyDescent="0.3">
      <c r="A25" s="32"/>
      <c r="B25" s="5">
        <v>1</v>
      </c>
      <c r="C25" s="34"/>
      <c r="D25" s="6" t="s">
        <v>49</v>
      </c>
      <c r="E25" s="30" t="s">
        <v>230</v>
      </c>
      <c r="F25" s="34"/>
      <c r="G25" s="35"/>
      <c r="H25" s="35"/>
      <c r="I25" s="34"/>
    </row>
    <row r="26" spans="1:9" ht="37.5" customHeight="1" x14ac:dyDescent="0.3">
      <c r="A26" s="36" t="s">
        <v>50</v>
      </c>
      <c r="B26" s="7">
        <v>2</v>
      </c>
      <c r="C26" s="37" t="s">
        <v>51</v>
      </c>
      <c r="D26" s="8" t="s">
        <v>52</v>
      </c>
      <c r="E26" s="7" t="s">
        <v>17</v>
      </c>
      <c r="F26" s="37" t="s">
        <v>53</v>
      </c>
      <c r="G26" s="38" t="s">
        <v>54</v>
      </c>
      <c r="H26" s="38" t="str">
        <f>EQUIPO!$B$7</f>
        <v>Jose Espinoza Rivadeneira</v>
      </c>
      <c r="I26" s="37" t="s">
        <v>20</v>
      </c>
    </row>
    <row r="27" spans="1:9" ht="37.5" customHeight="1" x14ac:dyDescent="0.3">
      <c r="A27" s="36"/>
      <c r="B27" s="9">
        <v>2</v>
      </c>
      <c r="C27" s="37"/>
      <c r="D27" s="10" t="s">
        <v>55</v>
      </c>
      <c r="E27" s="9" t="s">
        <v>17</v>
      </c>
      <c r="F27" s="37"/>
      <c r="G27" s="38"/>
      <c r="H27" s="38"/>
      <c r="I27" s="37"/>
    </row>
    <row r="28" spans="1:9" ht="22.5" customHeight="1" x14ac:dyDescent="0.3">
      <c r="A28" s="36"/>
      <c r="B28" s="9">
        <v>2</v>
      </c>
      <c r="C28" s="37"/>
      <c r="D28" s="10" t="s">
        <v>56</v>
      </c>
      <c r="E28" s="9" t="s">
        <v>17</v>
      </c>
      <c r="F28" s="37"/>
      <c r="G28" s="38"/>
      <c r="H28" s="38"/>
      <c r="I28" s="37"/>
    </row>
    <row r="29" spans="1:9" ht="37.5" customHeight="1" x14ac:dyDescent="0.3">
      <c r="A29" s="36"/>
      <c r="B29" s="9">
        <v>2</v>
      </c>
      <c r="C29" s="37"/>
      <c r="D29" s="10" t="s">
        <v>57</v>
      </c>
      <c r="E29" s="9" t="s">
        <v>17</v>
      </c>
      <c r="F29" s="37"/>
      <c r="G29" s="38"/>
      <c r="H29" s="38"/>
      <c r="I29" s="37"/>
    </row>
    <row r="30" spans="1:9" ht="37.5" customHeight="1" x14ac:dyDescent="0.3">
      <c r="A30" s="36"/>
      <c r="B30" s="7">
        <v>2</v>
      </c>
      <c r="C30" s="37" t="s">
        <v>58</v>
      </c>
      <c r="D30" s="8" t="s">
        <v>59</v>
      </c>
      <c r="E30" s="7" t="s">
        <v>17</v>
      </c>
      <c r="F30" s="37" t="s">
        <v>53</v>
      </c>
      <c r="G30" s="38" t="s">
        <v>60</v>
      </c>
      <c r="H30" s="38" t="str">
        <f>EQUIPO!$B$8</f>
        <v>Jack</v>
      </c>
      <c r="I30" s="37" t="s">
        <v>20</v>
      </c>
    </row>
    <row r="31" spans="1:9" ht="22.5" customHeight="1" x14ac:dyDescent="0.3">
      <c r="A31" s="36"/>
      <c r="B31" s="9">
        <v>2</v>
      </c>
      <c r="C31" s="37"/>
      <c r="D31" s="10" t="s">
        <v>61</v>
      </c>
      <c r="E31" s="9" t="s">
        <v>17</v>
      </c>
      <c r="F31" s="37"/>
      <c r="G31" s="38"/>
      <c r="H31" s="38"/>
      <c r="I31" s="37"/>
    </row>
    <row r="32" spans="1:9" ht="37.5" customHeight="1" x14ac:dyDescent="0.3">
      <c r="A32" s="36"/>
      <c r="B32" s="9">
        <v>2</v>
      </c>
      <c r="C32" s="37"/>
      <c r="D32" s="10" t="s">
        <v>62</v>
      </c>
      <c r="E32" s="9" t="s">
        <v>17</v>
      </c>
      <c r="F32" s="37"/>
      <c r="G32" s="38"/>
      <c r="H32" s="38"/>
      <c r="I32" s="37"/>
    </row>
    <row r="33" spans="1:9" ht="37.5" customHeight="1" x14ac:dyDescent="0.3">
      <c r="A33" s="36"/>
      <c r="B33" s="9">
        <v>2</v>
      </c>
      <c r="C33" s="37"/>
      <c r="D33" s="10" t="s">
        <v>63</v>
      </c>
      <c r="E33" s="9" t="s">
        <v>17</v>
      </c>
      <c r="F33" s="37"/>
      <c r="G33" s="38"/>
      <c r="H33" s="38"/>
      <c r="I33" s="37"/>
    </row>
    <row r="34" spans="1:9" ht="37.5" customHeight="1" x14ac:dyDescent="0.3">
      <c r="A34" s="32" t="s">
        <v>64</v>
      </c>
      <c r="B34" s="3">
        <v>3</v>
      </c>
      <c r="C34" s="34" t="s">
        <v>65</v>
      </c>
      <c r="D34" s="4" t="s">
        <v>66</v>
      </c>
      <c r="E34" s="3" t="s">
        <v>17</v>
      </c>
      <c r="F34" s="34" t="s">
        <v>67</v>
      </c>
      <c r="G34" s="35" t="s">
        <v>68</v>
      </c>
      <c r="H34" s="35" t="str">
        <f>EQUIPO!$B$7</f>
        <v>Jose Espinoza Rivadeneira</v>
      </c>
      <c r="I34" s="34" t="s">
        <v>69</v>
      </c>
    </row>
    <row r="35" spans="1:9" ht="37.5" customHeight="1" x14ac:dyDescent="0.3">
      <c r="A35" s="32"/>
      <c r="B35" s="5">
        <v>3</v>
      </c>
      <c r="C35" s="34"/>
      <c r="D35" s="6" t="s">
        <v>70</v>
      </c>
      <c r="E35" s="5" t="s">
        <v>17</v>
      </c>
      <c r="F35" s="34"/>
      <c r="G35" s="35"/>
      <c r="H35" s="35"/>
      <c r="I35" s="34"/>
    </row>
    <row r="36" spans="1:9" ht="37.5" customHeight="1" x14ac:dyDescent="0.3">
      <c r="A36" s="32"/>
      <c r="B36" s="5">
        <v>3</v>
      </c>
      <c r="C36" s="34"/>
      <c r="D36" s="6" t="s">
        <v>71</v>
      </c>
      <c r="E36" s="5" t="s">
        <v>17</v>
      </c>
      <c r="F36" s="34"/>
      <c r="G36" s="35"/>
      <c r="H36" s="35"/>
      <c r="I36" s="34"/>
    </row>
    <row r="37" spans="1:9" ht="37.5" customHeight="1" x14ac:dyDescent="0.3">
      <c r="A37" s="32"/>
      <c r="B37" s="5">
        <v>3</v>
      </c>
      <c r="C37" s="34"/>
      <c r="D37" s="6" t="s">
        <v>72</v>
      </c>
      <c r="E37" s="5" t="s">
        <v>17</v>
      </c>
      <c r="F37" s="34"/>
      <c r="G37" s="35"/>
      <c r="H37" s="35"/>
      <c r="I37" s="34"/>
    </row>
    <row r="38" spans="1:9" ht="22.5" customHeight="1" x14ac:dyDescent="0.3">
      <c r="A38" s="32"/>
      <c r="B38" s="3">
        <v>3</v>
      </c>
      <c r="C38" s="34" t="s">
        <v>73</v>
      </c>
      <c r="D38" s="4" t="s">
        <v>74</v>
      </c>
      <c r="E38" s="3" t="s">
        <v>17</v>
      </c>
      <c r="F38" s="34" t="s">
        <v>67</v>
      </c>
      <c r="G38" s="35" t="s">
        <v>75</v>
      </c>
      <c r="H38" s="35" t="str">
        <f>EQUIPO!$B$8</f>
        <v>Jack</v>
      </c>
      <c r="I38" s="34" t="s">
        <v>69</v>
      </c>
    </row>
    <row r="39" spans="1:9" ht="37.5" customHeight="1" x14ac:dyDescent="0.3">
      <c r="A39" s="32"/>
      <c r="B39" s="5">
        <v>3</v>
      </c>
      <c r="C39" s="34"/>
      <c r="D39" s="6" t="s">
        <v>76</v>
      </c>
      <c r="E39" s="5" t="s">
        <v>17</v>
      </c>
      <c r="F39" s="34"/>
      <c r="G39" s="35"/>
      <c r="H39" s="35"/>
      <c r="I39" s="34"/>
    </row>
    <row r="40" spans="1:9" ht="37.5" customHeight="1" x14ac:dyDescent="0.3">
      <c r="A40" s="32"/>
      <c r="B40" s="5">
        <v>3</v>
      </c>
      <c r="C40" s="34"/>
      <c r="D40" s="6" t="s">
        <v>77</v>
      </c>
      <c r="E40" s="5" t="s">
        <v>17</v>
      </c>
      <c r="F40" s="34"/>
      <c r="G40" s="35"/>
      <c r="H40" s="35"/>
      <c r="I40" s="34"/>
    </row>
    <row r="41" spans="1:9" ht="37.5" customHeight="1" x14ac:dyDescent="0.3">
      <c r="A41" s="32"/>
      <c r="B41" s="5">
        <v>3</v>
      </c>
      <c r="C41" s="34"/>
      <c r="D41" s="6" t="s">
        <v>78</v>
      </c>
      <c r="E41" s="5" t="s">
        <v>17</v>
      </c>
      <c r="F41" s="34"/>
      <c r="G41" s="35"/>
      <c r="H41" s="35"/>
      <c r="I41" s="34"/>
    </row>
    <row r="42" spans="1:9" ht="37.5" customHeight="1" x14ac:dyDescent="0.3">
      <c r="A42" s="32"/>
      <c r="B42" s="5">
        <v>3</v>
      </c>
      <c r="C42" s="34"/>
      <c r="D42" s="6" t="s">
        <v>79</v>
      </c>
      <c r="E42" s="5" t="s">
        <v>17</v>
      </c>
      <c r="F42" s="34"/>
      <c r="G42" s="35"/>
      <c r="H42" s="35"/>
      <c r="I42" s="34"/>
    </row>
    <row r="43" spans="1:9" ht="37.5" customHeight="1" x14ac:dyDescent="0.3">
      <c r="A43" s="32"/>
      <c r="B43" s="3">
        <v>3</v>
      </c>
      <c r="C43" s="34" t="s">
        <v>80</v>
      </c>
      <c r="D43" s="4" t="s">
        <v>81</v>
      </c>
      <c r="E43" s="3" t="s">
        <v>17</v>
      </c>
      <c r="F43" s="34" t="s">
        <v>67</v>
      </c>
      <c r="G43" s="35" t="s">
        <v>82</v>
      </c>
      <c r="H43" s="35" t="str">
        <f>EQUIPO!$B$7</f>
        <v>Jose Espinoza Rivadeneira</v>
      </c>
      <c r="I43" s="34" t="s">
        <v>69</v>
      </c>
    </row>
    <row r="44" spans="1:9" ht="37.5" customHeight="1" x14ac:dyDescent="0.3">
      <c r="A44" s="32"/>
      <c r="B44" s="5">
        <v>3</v>
      </c>
      <c r="C44" s="34"/>
      <c r="D44" s="6" t="s">
        <v>83</v>
      </c>
      <c r="E44" s="5" t="s">
        <v>17</v>
      </c>
      <c r="F44" s="34"/>
      <c r="G44" s="35"/>
      <c r="H44" s="35"/>
      <c r="I44" s="34"/>
    </row>
    <row r="45" spans="1:9" ht="52.5" customHeight="1" x14ac:dyDescent="0.3">
      <c r="A45" s="32"/>
      <c r="B45" s="5">
        <v>3</v>
      </c>
      <c r="C45" s="34"/>
      <c r="D45" s="6" t="s">
        <v>84</v>
      </c>
      <c r="E45" s="5" t="s">
        <v>17</v>
      </c>
      <c r="F45" s="34"/>
      <c r="G45" s="35"/>
      <c r="H45" s="35"/>
      <c r="I45" s="34"/>
    </row>
    <row r="46" spans="1:9" ht="37.5" customHeight="1" x14ac:dyDescent="0.3">
      <c r="A46" s="32"/>
      <c r="B46" s="5">
        <v>3</v>
      </c>
      <c r="C46" s="34"/>
      <c r="D46" s="6" t="s">
        <v>85</v>
      </c>
      <c r="E46" s="5" t="s">
        <v>17</v>
      </c>
      <c r="F46" s="34"/>
      <c r="G46" s="35"/>
      <c r="H46" s="35"/>
      <c r="I46" s="34"/>
    </row>
    <row r="47" spans="1:9" ht="37.5" customHeight="1" x14ac:dyDescent="0.3">
      <c r="A47" s="36" t="s">
        <v>86</v>
      </c>
      <c r="B47" s="7">
        <v>4</v>
      </c>
      <c r="C47" s="37" t="s">
        <v>87</v>
      </c>
      <c r="D47" s="8" t="s">
        <v>88</v>
      </c>
      <c r="E47" s="7" t="s">
        <v>17</v>
      </c>
      <c r="F47" s="37" t="s">
        <v>67</v>
      </c>
      <c r="G47" s="38" t="s">
        <v>89</v>
      </c>
      <c r="H47" s="38" t="str">
        <f>EQUIPO!$B$8</f>
        <v>Jack</v>
      </c>
      <c r="I47" s="37" t="s">
        <v>69</v>
      </c>
    </row>
    <row r="48" spans="1:9" ht="22.5" customHeight="1" x14ac:dyDescent="0.3">
      <c r="A48" s="36"/>
      <c r="B48" s="9">
        <v>4</v>
      </c>
      <c r="C48" s="37"/>
      <c r="D48" s="10" t="s">
        <v>90</v>
      </c>
      <c r="E48" s="9" t="s">
        <v>17</v>
      </c>
      <c r="F48" s="37"/>
      <c r="G48" s="38"/>
      <c r="H48" s="38"/>
      <c r="I48" s="37"/>
    </row>
    <row r="49" spans="1:9" ht="37.5" customHeight="1" x14ac:dyDescent="0.3">
      <c r="A49" s="36"/>
      <c r="B49" s="9">
        <v>4</v>
      </c>
      <c r="C49" s="37"/>
      <c r="D49" s="10" t="s">
        <v>91</v>
      </c>
      <c r="E49" s="9" t="s">
        <v>17</v>
      </c>
      <c r="F49" s="37"/>
      <c r="G49" s="38"/>
      <c r="H49" s="38"/>
      <c r="I49" s="37"/>
    </row>
    <row r="50" spans="1:9" ht="37.5" customHeight="1" x14ac:dyDescent="0.3">
      <c r="A50" s="36"/>
      <c r="B50" s="9">
        <v>4</v>
      </c>
      <c r="C50" s="37"/>
      <c r="D50" s="10" t="s">
        <v>92</v>
      </c>
      <c r="E50" s="9" t="s">
        <v>17</v>
      </c>
      <c r="F50" s="37"/>
      <c r="G50" s="38"/>
      <c r="H50" s="38"/>
      <c r="I50" s="37"/>
    </row>
    <row r="51" spans="1:9" ht="22.5" customHeight="1" x14ac:dyDescent="0.3">
      <c r="A51" s="36"/>
      <c r="B51" s="7">
        <v>4</v>
      </c>
      <c r="C51" s="37" t="s">
        <v>93</v>
      </c>
      <c r="D51" s="8" t="s">
        <v>94</v>
      </c>
      <c r="E51" s="7" t="s">
        <v>17</v>
      </c>
      <c r="F51" s="37" t="s">
        <v>67</v>
      </c>
      <c r="G51" s="38" t="s">
        <v>95</v>
      </c>
      <c r="H51" s="38" t="str">
        <f>EQUIPO!$B$7</f>
        <v>Jose Espinoza Rivadeneira</v>
      </c>
      <c r="I51" s="37" t="s">
        <v>69</v>
      </c>
    </row>
    <row r="52" spans="1:9" ht="37.5" customHeight="1" x14ac:dyDescent="0.3">
      <c r="A52" s="36"/>
      <c r="B52" s="9">
        <v>4</v>
      </c>
      <c r="C52" s="37"/>
      <c r="D52" s="10" t="s">
        <v>96</v>
      </c>
      <c r="E52" s="9" t="s">
        <v>17</v>
      </c>
      <c r="F52" s="37"/>
      <c r="G52" s="38"/>
      <c r="H52" s="38"/>
      <c r="I52" s="37"/>
    </row>
    <row r="53" spans="1:9" ht="37.5" customHeight="1" x14ac:dyDescent="0.3">
      <c r="A53" s="36"/>
      <c r="B53" s="9">
        <v>4</v>
      </c>
      <c r="C53" s="37"/>
      <c r="D53" s="10" t="s">
        <v>97</v>
      </c>
      <c r="E53" s="9" t="s">
        <v>17</v>
      </c>
      <c r="F53" s="37"/>
      <c r="G53" s="38"/>
      <c r="H53" s="38"/>
      <c r="I53" s="37"/>
    </row>
    <row r="54" spans="1:9" ht="37.5" customHeight="1" x14ac:dyDescent="0.3">
      <c r="A54" s="36"/>
      <c r="B54" s="9">
        <v>4</v>
      </c>
      <c r="C54" s="37"/>
      <c r="D54" s="10" t="s">
        <v>98</v>
      </c>
      <c r="E54" s="9" t="s">
        <v>17</v>
      </c>
      <c r="F54" s="37"/>
      <c r="G54" s="38"/>
      <c r="H54" s="38"/>
      <c r="I54" s="37"/>
    </row>
    <row r="55" spans="1:9" ht="37.5" customHeight="1" x14ac:dyDescent="0.3">
      <c r="A55" s="36"/>
      <c r="B55" s="7">
        <v>4</v>
      </c>
      <c r="C55" s="37" t="s">
        <v>99</v>
      </c>
      <c r="D55" s="8" t="s">
        <v>100</v>
      </c>
      <c r="E55" s="7" t="s">
        <v>17</v>
      </c>
      <c r="F55" s="37" t="s">
        <v>67</v>
      </c>
      <c r="G55" s="38" t="s">
        <v>101</v>
      </c>
      <c r="H55" s="38" t="str">
        <f>EQUIPO!$B$8</f>
        <v>Jack</v>
      </c>
      <c r="I55" s="37" t="s">
        <v>69</v>
      </c>
    </row>
    <row r="56" spans="1:9" ht="37.5" customHeight="1" x14ac:dyDescent="0.3">
      <c r="A56" s="36"/>
      <c r="B56" s="9">
        <v>4</v>
      </c>
      <c r="C56" s="37"/>
      <c r="D56" s="10" t="s">
        <v>102</v>
      </c>
      <c r="E56" s="9" t="s">
        <v>17</v>
      </c>
      <c r="F56" s="37"/>
      <c r="G56" s="38"/>
      <c r="H56" s="38"/>
      <c r="I56" s="37"/>
    </row>
    <row r="57" spans="1:9" ht="37.5" customHeight="1" x14ac:dyDescent="0.3">
      <c r="A57" s="36"/>
      <c r="B57" s="9">
        <v>4</v>
      </c>
      <c r="C57" s="37"/>
      <c r="D57" s="10" t="s">
        <v>103</v>
      </c>
      <c r="E57" s="9" t="s">
        <v>17</v>
      </c>
      <c r="F57" s="37"/>
      <c r="G57" s="38"/>
      <c r="H57" s="38"/>
      <c r="I57" s="37"/>
    </row>
    <row r="58" spans="1:9" ht="22.5" customHeight="1" x14ac:dyDescent="0.3">
      <c r="A58" s="36"/>
      <c r="B58" s="9">
        <v>4</v>
      </c>
      <c r="C58" s="37"/>
      <c r="D58" s="10" t="s">
        <v>104</v>
      </c>
      <c r="E58" s="9" t="s">
        <v>17</v>
      </c>
      <c r="F58" s="37"/>
      <c r="G58" s="38"/>
      <c r="H58" s="38"/>
      <c r="I58" s="37"/>
    </row>
    <row r="59" spans="1:9" ht="37.5" customHeight="1" x14ac:dyDescent="0.3">
      <c r="A59" s="32" t="s">
        <v>105</v>
      </c>
      <c r="B59" s="3">
        <v>5</v>
      </c>
      <c r="C59" s="34" t="s">
        <v>106</v>
      </c>
      <c r="D59" s="4" t="s">
        <v>107</v>
      </c>
      <c r="E59" s="3" t="s">
        <v>17</v>
      </c>
      <c r="F59" s="34" t="s">
        <v>67</v>
      </c>
      <c r="G59" s="35" t="s">
        <v>108</v>
      </c>
      <c r="H59" s="35" t="str">
        <f>EQUIPO!$B$7</f>
        <v>Jose Espinoza Rivadeneira</v>
      </c>
      <c r="I59" s="34" t="s">
        <v>69</v>
      </c>
    </row>
    <row r="60" spans="1:9" ht="37.5" customHeight="1" x14ac:dyDescent="0.3">
      <c r="A60" s="32"/>
      <c r="B60" s="5">
        <v>5</v>
      </c>
      <c r="C60" s="34"/>
      <c r="D60" s="6" t="s">
        <v>109</v>
      </c>
      <c r="E60" s="5" t="s">
        <v>17</v>
      </c>
      <c r="F60" s="34"/>
      <c r="G60" s="35"/>
      <c r="H60" s="35"/>
      <c r="I60" s="34"/>
    </row>
    <row r="61" spans="1:9" ht="37.5" customHeight="1" x14ac:dyDescent="0.3">
      <c r="A61" s="32"/>
      <c r="B61" s="5">
        <v>5</v>
      </c>
      <c r="C61" s="34"/>
      <c r="D61" s="6" t="s">
        <v>110</v>
      </c>
      <c r="E61" s="5" t="s">
        <v>17</v>
      </c>
      <c r="F61" s="34"/>
      <c r="G61" s="35"/>
      <c r="H61" s="35"/>
      <c r="I61" s="34"/>
    </row>
    <row r="62" spans="1:9" ht="52.5" customHeight="1" x14ac:dyDescent="0.3">
      <c r="A62" s="32"/>
      <c r="B62" s="5">
        <v>5</v>
      </c>
      <c r="C62" s="34"/>
      <c r="D62" s="6" t="s">
        <v>111</v>
      </c>
      <c r="E62" s="5" t="s">
        <v>17</v>
      </c>
      <c r="F62" s="34"/>
      <c r="G62" s="35"/>
      <c r="H62" s="35"/>
      <c r="I62" s="34"/>
    </row>
    <row r="63" spans="1:9" ht="22.5" customHeight="1" x14ac:dyDescent="0.3">
      <c r="A63" s="32"/>
      <c r="B63" s="3">
        <v>5</v>
      </c>
      <c r="C63" s="34" t="s">
        <v>112</v>
      </c>
      <c r="D63" s="4" t="s">
        <v>113</v>
      </c>
      <c r="E63" s="3" t="s">
        <v>17</v>
      </c>
      <c r="F63" s="34" t="s">
        <v>67</v>
      </c>
      <c r="G63" s="35" t="s">
        <v>114</v>
      </c>
      <c r="H63" s="35" t="str">
        <f>EQUIPO!$B$8</f>
        <v>Jack</v>
      </c>
      <c r="I63" s="34" t="s">
        <v>69</v>
      </c>
    </row>
    <row r="64" spans="1:9" ht="37.5" customHeight="1" x14ac:dyDescent="0.3">
      <c r="A64" s="32"/>
      <c r="B64" s="5">
        <v>5</v>
      </c>
      <c r="C64" s="34"/>
      <c r="D64" s="6" t="s">
        <v>115</v>
      </c>
      <c r="E64" s="5" t="s">
        <v>17</v>
      </c>
      <c r="F64" s="34"/>
      <c r="G64" s="35"/>
      <c r="H64" s="35"/>
      <c r="I64" s="34"/>
    </row>
    <row r="65" spans="1:9" ht="37.5" customHeight="1" x14ac:dyDescent="0.3">
      <c r="A65" s="32"/>
      <c r="B65" s="5">
        <v>5</v>
      </c>
      <c r="C65" s="34"/>
      <c r="D65" s="6" t="s">
        <v>116</v>
      </c>
      <c r="E65" s="5" t="s">
        <v>17</v>
      </c>
      <c r="F65" s="34"/>
      <c r="G65" s="35"/>
      <c r="H65" s="35"/>
      <c r="I65" s="34"/>
    </row>
    <row r="66" spans="1:9" ht="22.5" customHeight="1" x14ac:dyDescent="0.3">
      <c r="A66" s="32"/>
      <c r="B66" s="5">
        <v>5</v>
      </c>
      <c r="C66" s="34"/>
      <c r="D66" s="6" t="s">
        <v>117</v>
      </c>
      <c r="E66" s="5" t="s">
        <v>17</v>
      </c>
      <c r="F66" s="34"/>
      <c r="G66" s="35"/>
      <c r="H66" s="35"/>
      <c r="I66" s="34"/>
    </row>
    <row r="67" spans="1:9" ht="37.5" customHeight="1" x14ac:dyDescent="0.3">
      <c r="A67" s="32"/>
      <c r="B67" s="3">
        <v>5</v>
      </c>
      <c r="C67" s="34" t="s">
        <v>118</v>
      </c>
      <c r="D67" s="4" t="s">
        <v>119</v>
      </c>
      <c r="E67" s="3" t="s">
        <v>17</v>
      </c>
      <c r="F67" s="34" t="s">
        <v>67</v>
      </c>
      <c r="G67" s="35" t="s">
        <v>120</v>
      </c>
      <c r="H67" s="35" t="str">
        <f>EQUIPO!$B$7</f>
        <v>Jose Espinoza Rivadeneira</v>
      </c>
      <c r="I67" s="34" t="s">
        <v>69</v>
      </c>
    </row>
    <row r="68" spans="1:9" ht="22.5" customHeight="1" x14ac:dyDescent="0.3">
      <c r="A68" s="32"/>
      <c r="B68" s="5">
        <v>5</v>
      </c>
      <c r="C68" s="34"/>
      <c r="D68" s="6" t="s">
        <v>121</v>
      </c>
      <c r="E68" s="5" t="s">
        <v>17</v>
      </c>
      <c r="F68" s="34"/>
      <c r="G68" s="35"/>
      <c r="H68" s="35"/>
      <c r="I68" s="34"/>
    </row>
    <row r="69" spans="1:9" ht="22.5" customHeight="1" x14ac:dyDescent="0.3">
      <c r="A69" s="32"/>
      <c r="B69" s="5">
        <v>5</v>
      </c>
      <c r="C69" s="34"/>
      <c r="D69" s="6" t="s">
        <v>122</v>
      </c>
      <c r="E69" s="5" t="s">
        <v>17</v>
      </c>
      <c r="F69" s="34"/>
      <c r="G69" s="35"/>
      <c r="H69" s="35"/>
      <c r="I69" s="34"/>
    </row>
    <row r="70" spans="1:9" ht="22.5" customHeight="1" x14ac:dyDescent="0.3">
      <c r="A70" s="32"/>
      <c r="B70" s="5">
        <v>5</v>
      </c>
      <c r="C70" s="34"/>
      <c r="D70" s="6" t="s">
        <v>123</v>
      </c>
      <c r="E70" s="5" t="s">
        <v>17</v>
      </c>
      <c r="F70" s="34"/>
      <c r="G70" s="35"/>
      <c r="H70" s="35"/>
      <c r="I70" s="34"/>
    </row>
    <row r="71" spans="1:9" ht="52.5" customHeight="1" x14ac:dyDescent="0.3">
      <c r="A71" s="36" t="s">
        <v>124</v>
      </c>
      <c r="B71" s="7">
        <v>6</v>
      </c>
      <c r="C71" s="37" t="s">
        <v>125</v>
      </c>
      <c r="D71" s="8" t="s">
        <v>126</v>
      </c>
      <c r="E71" s="7" t="s">
        <v>17</v>
      </c>
      <c r="F71" s="37" t="s">
        <v>67</v>
      </c>
      <c r="G71" s="38" t="s">
        <v>127</v>
      </c>
      <c r="H71" s="38" t="str">
        <f>EQUIPO!$B$8</f>
        <v>Jack</v>
      </c>
      <c r="I71" s="37" t="s">
        <v>128</v>
      </c>
    </row>
    <row r="72" spans="1:9" ht="22.5" customHeight="1" x14ac:dyDescent="0.3">
      <c r="A72" s="36"/>
      <c r="B72" s="9">
        <v>6</v>
      </c>
      <c r="C72" s="37"/>
      <c r="D72" s="10" t="s">
        <v>129</v>
      </c>
      <c r="E72" s="9" t="s">
        <v>17</v>
      </c>
      <c r="F72" s="37"/>
      <c r="G72" s="38"/>
      <c r="H72" s="38"/>
      <c r="I72" s="37"/>
    </row>
    <row r="73" spans="1:9" ht="37.5" customHeight="1" x14ac:dyDescent="0.3">
      <c r="A73" s="36"/>
      <c r="B73" s="9">
        <v>6</v>
      </c>
      <c r="C73" s="37"/>
      <c r="D73" s="10" t="s">
        <v>130</v>
      </c>
      <c r="E73" s="9" t="s">
        <v>17</v>
      </c>
      <c r="F73" s="37"/>
      <c r="G73" s="38"/>
      <c r="H73" s="38"/>
      <c r="I73" s="37"/>
    </row>
    <row r="74" spans="1:9" ht="37.5" customHeight="1" x14ac:dyDescent="0.3">
      <c r="A74" s="36"/>
      <c r="B74" s="9">
        <v>6</v>
      </c>
      <c r="C74" s="37"/>
      <c r="D74" s="10" t="s">
        <v>131</v>
      </c>
      <c r="E74" s="9" t="s">
        <v>17</v>
      </c>
      <c r="F74" s="37"/>
      <c r="G74" s="38"/>
      <c r="H74" s="38"/>
      <c r="I74" s="37"/>
    </row>
    <row r="75" spans="1:9" ht="37.5" customHeight="1" x14ac:dyDescent="0.3">
      <c r="A75" s="36"/>
      <c r="B75" s="7">
        <v>6</v>
      </c>
      <c r="C75" s="37" t="s">
        <v>132</v>
      </c>
      <c r="D75" s="8" t="s">
        <v>133</v>
      </c>
      <c r="E75" s="7" t="s">
        <v>17</v>
      </c>
      <c r="F75" s="37" t="s">
        <v>67</v>
      </c>
      <c r="G75" s="38" t="s">
        <v>134</v>
      </c>
      <c r="H75" s="38" t="str">
        <f>EQUIPO!$B$7</f>
        <v>Jose Espinoza Rivadeneira</v>
      </c>
      <c r="I75" s="37" t="s">
        <v>128</v>
      </c>
    </row>
    <row r="76" spans="1:9" ht="22.5" customHeight="1" x14ac:dyDescent="0.3">
      <c r="A76" s="36"/>
      <c r="B76" s="9">
        <v>6</v>
      </c>
      <c r="C76" s="37"/>
      <c r="D76" s="10" t="s">
        <v>135</v>
      </c>
      <c r="E76" s="9" t="s">
        <v>17</v>
      </c>
      <c r="F76" s="37"/>
      <c r="G76" s="38"/>
      <c r="H76" s="38"/>
      <c r="I76" s="37"/>
    </row>
    <row r="77" spans="1:9" ht="37.5" customHeight="1" x14ac:dyDescent="0.3">
      <c r="A77" s="36"/>
      <c r="B77" s="9">
        <v>6</v>
      </c>
      <c r="C77" s="37"/>
      <c r="D77" s="10" t="s">
        <v>136</v>
      </c>
      <c r="E77" s="9" t="s">
        <v>17</v>
      </c>
      <c r="F77" s="37"/>
      <c r="G77" s="38"/>
      <c r="H77" s="38"/>
      <c r="I77" s="37"/>
    </row>
    <row r="78" spans="1:9" ht="37.5" customHeight="1" x14ac:dyDescent="0.3">
      <c r="A78" s="36"/>
      <c r="B78" s="9">
        <v>6</v>
      </c>
      <c r="C78" s="37"/>
      <c r="D78" s="10" t="s">
        <v>137</v>
      </c>
      <c r="E78" s="9" t="s">
        <v>17</v>
      </c>
      <c r="F78" s="37"/>
      <c r="G78" s="38"/>
      <c r="H78" s="38"/>
      <c r="I78" s="37"/>
    </row>
    <row r="79" spans="1:9" ht="37.5" customHeight="1" x14ac:dyDescent="0.3">
      <c r="A79" s="36"/>
      <c r="B79" s="7">
        <v>6</v>
      </c>
      <c r="C79" s="37" t="s">
        <v>138</v>
      </c>
      <c r="D79" s="8" t="s">
        <v>139</v>
      </c>
      <c r="E79" s="7" t="s">
        <v>17</v>
      </c>
      <c r="F79" s="37" t="s">
        <v>67</v>
      </c>
      <c r="G79" s="38" t="s">
        <v>140</v>
      </c>
      <c r="H79" s="38" t="str">
        <f>EQUIPO!$B$8</f>
        <v>Jack</v>
      </c>
      <c r="I79" s="37" t="s">
        <v>128</v>
      </c>
    </row>
    <row r="80" spans="1:9" ht="37.5" customHeight="1" x14ac:dyDescent="0.3">
      <c r="A80" s="36"/>
      <c r="B80" s="9">
        <v>6</v>
      </c>
      <c r="C80" s="37"/>
      <c r="D80" s="10" t="s">
        <v>141</v>
      </c>
      <c r="E80" s="9" t="s">
        <v>17</v>
      </c>
      <c r="F80" s="37"/>
      <c r="G80" s="38"/>
      <c r="H80" s="38"/>
      <c r="I80" s="37"/>
    </row>
    <row r="81" spans="1:9" ht="22.5" customHeight="1" x14ac:dyDescent="0.3">
      <c r="A81" s="36"/>
      <c r="B81" s="9">
        <v>6</v>
      </c>
      <c r="C81" s="37"/>
      <c r="D81" s="10" t="s">
        <v>142</v>
      </c>
      <c r="E81" s="9" t="s">
        <v>17</v>
      </c>
      <c r="F81" s="37"/>
      <c r="G81" s="38"/>
      <c r="H81" s="38"/>
      <c r="I81" s="37"/>
    </row>
    <row r="82" spans="1:9" ht="37.5" customHeight="1" x14ac:dyDescent="0.3">
      <c r="A82" s="36"/>
      <c r="B82" s="9">
        <v>6</v>
      </c>
      <c r="C82" s="37"/>
      <c r="D82" s="10" t="s">
        <v>143</v>
      </c>
      <c r="E82" s="9" t="s">
        <v>17</v>
      </c>
      <c r="F82" s="37"/>
      <c r="G82" s="38"/>
      <c r="H82" s="38"/>
      <c r="I82" s="37"/>
    </row>
    <row r="83" spans="1:9" ht="22.5" customHeight="1" x14ac:dyDescent="0.3">
      <c r="A83" s="32" t="s">
        <v>144</v>
      </c>
      <c r="B83" s="3">
        <v>7</v>
      </c>
      <c r="C83" s="34" t="s">
        <v>145</v>
      </c>
      <c r="D83" s="4" t="s">
        <v>146</v>
      </c>
      <c r="E83" s="3" t="s">
        <v>17</v>
      </c>
      <c r="F83" s="34" t="s">
        <v>67</v>
      </c>
      <c r="G83" s="35" t="s">
        <v>147</v>
      </c>
      <c r="H83" s="35" t="str">
        <f>EQUIPO!$B$7</f>
        <v>Jose Espinoza Rivadeneira</v>
      </c>
      <c r="I83" s="34" t="s">
        <v>128</v>
      </c>
    </row>
    <row r="84" spans="1:9" ht="52.5" customHeight="1" x14ac:dyDescent="0.3">
      <c r="A84" s="32"/>
      <c r="B84" s="5">
        <v>7</v>
      </c>
      <c r="C84" s="34"/>
      <c r="D84" s="6" t="s">
        <v>148</v>
      </c>
      <c r="E84" s="5" t="s">
        <v>17</v>
      </c>
      <c r="F84" s="34"/>
      <c r="G84" s="35"/>
      <c r="H84" s="35"/>
      <c r="I84" s="34"/>
    </row>
    <row r="85" spans="1:9" ht="37.5" customHeight="1" x14ac:dyDescent="0.3">
      <c r="A85" s="32"/>
      <c r="B85" s="5">
        <v>7</v>
      </c>
      <c r="C85" s="34"/>
      <c r="D85" s="6" t="s">
        <v>149</v>
      </c>
      <c r="E85" s="5" t="s">
        <v>17</v>
      </c>
      <c r="F85" s="34"/>
      <c r="G85" s="35"/>
      <c r="H85" s="35"/>
      <c r="I85" s="34"/>
    </row>
    <row r="86" spans="1:9" ht="37.5" customHeight="1" x14ac:dyDescent="0.3">
      <c r="A86" s="32"/>
      <c r="B86" s="5">
        <v>7</v>
      </c>
      <c r="C86" s="34"/>
      <c r="D86" s="6" t="s">
        <v>150</v>
      </c>
      <c r="E86" s="5" t="s">
        <v>17</v>
      </c>
      <c r="F86" s="34"/>
      <c r="G86" s="35"/>
      <c r="H86" s="35"/>
      <c r="I86" s="34"/>
    </row>
    <row r="87" spans="1:9" ht="37.5" customHeight="1" x14ac:dyDescent="0.3">
      <c r="A87" s="32"/>
      <c r="B87" s="3">
        <v>7</v>
      </c>
      <c r="C87" s="34" t="s">
        <v>151</v>
      </c>
      <c r="D87" s="4" t="s">
        <v>152</v>
      </c>
      <c r="E87" s="3" t="s">
        <v>17</v>
      </c>
      <c r="F87" s="34" t="s">
        <v>67</v>
      </c>
      <c r="G87" s="35" t="s">
        <v>153</v>
      </c>
      <c r="H87" s="35" t="str">
        <f>EQUIPO!$B$8</f>
        <v>Jack</v>
      </c>
      <c r="I87" s="34" t="s">
        <v>128</v>
      </c>
    </row>
    <row r="88" spans="1:9" ht="22.5" customHeight="1" x14ac:dyDescent="0.3">
      <c r="A88" s="32"/>
      <c r="B88" s="5">
        <v>7</v>
      </c>
      <c r="C88" s="34"/>
      <c r="D88" s="6" t="s">
        <v>154</v>
      </c>
      <c r="E88" s="5" t="s">
        <v>17</v>
      </c>
      <c r="F88" s="34"/>
      <c r="G88" s="35"/>
      <c r="H88" s="35"/>
      <c r="I88" s="34"/>
    </row>
    <row r="89" spans="1:9" ht="37.5" customHeight="1" x14ac:dyDescent="0.3">
      <c r="A89" s="32"/>
      <c r="B89" s="5">
        <v>7</v>
      </c>
      <c r="C89" s="34"/>
      <c r="D89" s="6" t="s">
        <v>155</v>
      </c>
      <c r="E89" s="5" t="s">
        <v>17</v>
      </c>
      <c r="F89" s="34"/>
      <c r="G89" s="35"/>
      <c r="H89" s="35"/>
      <c r="I89" s="34"/>
    </row>
    <row r="90" spans="1:9" ht="22.5" customHeight="1" x14ac:dyDescent="0.3">
      <c r="A90" s="32"/>
      <c r="B90" s="5">
        <v>7</v>
      </c>
      <c r="C90" s="34"/>
      <c r="D90" s="6" t="s">
        <v>156</v>
      </c>
      <c r="E90" s="5" t="s">
        <v>17</v>
      </c>
      <c r="F90" s="34"/>
      <c r="G90" s="35"/>
      <c r="H90" s="35"/>
      <c r="I90" s="34"/>
    </row>
    <row r="91" spans="1:9" ht="37.5" customHeight="1" x14ac:dyDescent="0.3">
      <c r="A91" s="32"/>
      <c r="B91" s="3">
        <v>7</v>
      </c>
      <c r="C91" s="34" t="s">
        <v>157</v>
      </c>
      <c r="D91" s="4" t="s">
        <v>158</v>
      </c>
      <c r="E91" s="3" t="s">
        <v>17</v>
      </c>
      <c r="F91" s="34" t="s">
        <v>67</v>
      </c>
      <c r="G91" s="35" t="s">
        <v>159</v>
      </c>
      <c r="H91" s="35" t="str">
        <f>EQUIPO!$B$7</f>
        <v>Jose Espinoza Rivadeneira</v>
      </c>
      <c r="I91" s="34" t="s">
        <v>128</v>
      </c>
    </row>
    <row r="92" spans="1:9" ht="22.5" customHeight="1" x14ac:dyDescent="0.3">
      <c r="A92" s="32"/>
      <c r="B92" s="5">
        <v>7</v>
      </c>
      <c r="C92" s="34"/>
      <c r="D92" s="6" t="s">
        <v>160</v>
      </c>
      <c r="E92" s="5" t="s">
        <v>17</v>
      </c>
      <c r="F92" s="34"/>
      <c r="G92" s="35"/>
      <c r="H92" s="35"/>
      <c r="I92" s="34"/>
    </row>
    <row r="93" spans="1:9" ht="22.5" customHeight="1" x14ac:dyDescent="0.3">
      <c r="A93" s="32"/>
      <c r="B93" s="5">
        <v>7</v>
      </c>
      <c r="C93" s="34"/>
      <c r="D93" s="6" t="s">
        <v>161</v>
      </c>
      <c r="E93" s="5" t="s">
        <v>17</v>
      </c>
      <c r="F93" s="34"/>
      <c r="G93" s="35"/>
      <c r="H93" s="35"/>
      <c r="I93" s="34"/>
    </row>
    <row r="94" spans="1:9" ht="37.5" customHeight="1" x14ac:dyDescent="0.3">
      <c r="A94" s="32"/>
      <c r="B94" s="5">
        <v>7</v>
      </c>
      <c r="C94" s="34"/>
      <c r="D94" s="6" t="s">
        <v>162</v>
      </c>
      <c r="E94" s="5" t="s">
        <v>17</v>
      </c>
      <c r="F94" s="34"/>
      <c r="G94" s="35"/>
      <c r="H94" s="35"/>
      <c r="I94" s="34"/>
    </row>
    <row r="95" spans="1:9" ht="37.5" customHeight="1" x14ac:dyDescent="0.3">
      <c r="A95" s="36" t="s">
        <v>163</v>
      </c>
      <c r="B95" s="7">
        <v>8</v>
      </c>
      <c r="C95" s="37" t="s">
        <v>164</v>
      </c>
      <c r="D95" s="8" t="s">
        <v>165</v>
      </c>
      <c r="E95" s="7" t="s">
        <v>17</v>
      </c>
      <c r="F95" s="37" t="s">
        <v>67</v>
      </c>
      <c r="G95" s="38" t="s">
        <v>166</v>
      </c>
      <c r="H95" s="38" t="str">
        <f>EQUIPO!$B$8</f>
        <v>Jack</v>
      </c>
      <c r="I95" s="37" t="s">
        <v>128</v>
      </c>
    </row>
    <row r="96" spans="1:9" ht="37.5" customHeight="1" x14ac:dyDescent="0.3">
      <c r="A96" s="36"/>
      <c r="B96" s="9">
        <v>8</v>
      </c>
      <c r="C96" s="37"/>
      <c r="D96" s="10" t="s">
        <v>167</v>
      </c>
      <c r="E96" s="9" t="s">
        <v>17</v>
      </c>
      <c r="F96" s="37"/>
      <c r="G96" s="38"/>
      <c r="H96" s="38"/>
      <c r="I96" s="37"/>
    </row>
    <row r="97" spans="1:9" ht="37.5" customHeight="1" x14ac:dyDescent="0.3">
      <c r="A97" s="36"/>
      <c r="B97" s="9">
        <v>8</v>
      </c>
      <c r="C97" s="37"/>
      <c r="D97" s="10" t="s">
        <v>168</v>
      </c>
      <c r="E97" s="9" t="s">
        <v>17</v>
      </c>
      <c r="F97" s="37"/>
      <c r="G97" s="38"/>
      <c r="H97" s="38"/>
      <c r="I97" s="37"/>
    </row>
    <row r="98" spans="1:9" ht="22.5" customHeight="1" x14ac:dyDescent="0.3">
      <c r="A98" s="36"/>
      <c r="B98" s="9">
        <v>8</v>
      </c>
      <c r="C98" s="37"/>
      <c r="D98" s="10" t="s">
        <v>169</v>
      </c>
      <c r="E98" s="9" t="s">
        <v>17</v>
      </c>
      <c r="F98" s="37"/>
      <c r="G98" s="38"/>
      <c r="H98" s="38"/>
      <c r="I98" s="37"/>
    </row>
    <row r="99" spans="1:9" ht="37.5" customHeight="1" x14ac:dyDescent="0.3">
      <c r="A99" s="36"/>
      <c r="B99" s="7">
        <v>8</v>
      </c>
      <c r="C99" s="37" t="s">
        <v>170</v>
      </c>
      <c r="D99" s="8" t="s">
        <v>171</v>
      </c>
      <c r="E99" s="7" t="s">
        <v>17</v>
      </c>
      <c r="F99" s="37" t="s">
        <v>172</v>
      </c>
      <c r="G99" s="38" t="s">
        <v>173</v>
      </c>
      <c r="H99" s="38" t="str">
        <f>EQUIPO!$B$8</f>
        <v>Jack</v>
      </c>
      <c r="I99" s="37" t="s">
        <v>128</v>
      </c>
    </row>
    <row r="100" spans="1:9" ht="22.5" customHeight="1" x14ac:dyDescent="0.3">
      <c r="A100" s="36"/>
      <c r="B100" s="9">
        <v>8</v>
      </c>
      <c r="C100" s="37"/>
      <c r="D100" s="10" t="s">
        <v>174</v>
      </c>
      <c r="E100" s="9" t="s">
        <v>17</v>
      </c>
      <c r="F100" s="37"/>
      <c r="G100" s="38"/>
      <c r="H100" s="38"/>
      <c r="I100" s="37"/>
    </row>
    <row r="101" spans="1:9" ht="22.5" customHeight="1" x14ac:dyDescent="0.3">
      <c r="A101" s="36"/>
      <c r="B101" s="9">
        <v>8</v>
      </c>
      <c r="C101" s="37"/>
      <c r="D101" s="10" t="s">
        <v>175</v>
      </c>
      <c r="E101" s="9" t="s">
        <v>17</v>
      </c>
      <c r="F101" s="37"/>
      <c r="G101" s="38"/>
      <c r="H101" s="38"/>
      <c r="I101" s="37"/>
    </row>
    <row r="102" spans="1:9" ht="22.5" customHeight="1" x14ac:dyDescent="0.3">
      <c r="A102" s="36"/>
      <c r="B102" s="9">
        <v>8</v>
      </c>
      <c r="C102" s="37"/>
      <c r="D102" s="10" t="s">
        <v>176</v>
      </c>
      <c r="E102" s="9" t="s">
        <v>17</v>
      </c>
      <c r="F102" s="37"/>
      <c r="G102" s="38"/>
      <c r="H102" s="38"/>
      <c r="I102" s="37"/>
    </row>
  </sheetData>
  <autoFilter ref="A5:I102" xr:uid="{00000000-0009-0000-0000-000000000000}"/>
  <mergeCells count="131">
    <mergeCell ref="A95:A102"/>
    <mergeCell ref="C95:C98"/>
    <mergeCell ref="F95:F98"/>
    <mergeCell ref="G95:G98"/>
    <mergeCell ref="H95:H98"/>
    <mergeCell ref="I95:I98"/>
    <mergeCell ref="C99:C102"/>
    <mergeCell ref="F99:F102"/>
    <mergeCell ref="G99:G102"/>
    <mergeCell ref="H99:H102"/>
    <mergeCell ref="I99:I102"/>
    <mergeCell ref="A83:A94"/>
    <mergeCell ref="C83:C86"/>
    <mergeCell ref="F83:F86"/>
    <mergeCell ref="G83:G86"/>
    <mergeCell ref="H83:H86"/>
    <mergeCell ref="I83:I86"/>
    <mergeCell ref="C87:C90"/>
    <mergeCell ref="F87:F90"/>
    <mergeCell ref="G87:G90"/>
    <mergeCell ref="H87:H90"/>
    <mergeCell ref="I87:I90"/>
    <mergeCell ref="C91:C94"/>
    <mergeCell ref="F91:F94"/>
    <mergeCell ref="G91:G94"/>
    <mergeCell ref="H91:H94"/>
    <mergeCell ref="I91:I94"/>
    <mergeCell ref="A71:A82"/>
    <mergeCell ref="C71:C74"/>
    <mergeCell ref="F71:F74"/>
    <mergeCell ref="G71:G74"/>
    <mergeCell ref="H71:H74"/>
    <mergeCell ref="I71:I74"/>
    <mergeCell ref="C75:C78"/>
    <mergeCell ref="F75:F78"/>
    <mergeCell ref="G75:G78"/>
    <mergeCell ref="H75:H78"/>
    <mergeCell ref="I75:I78"/>
    <mergeCell ref="C79:C82"/>
    <mergeCell ref="F79:F82"/>
    <mergeCell ref="G79:G82"/>
    <mergeCell ref="H79:H82"/>
    <mergeCell ref="I79:I82"/>
    <mergeCell ref="A59:A70"/>
    <mergeCell ref="C59:C62"/>
    <mergeCell ref="F59:F62"/>
    <mergeCell ref="G59:G62"/>
    <mergeCell ref="H59:H62"/>
    <mergeCell ref="I59:I62"/>
    <mergeCell ref="C63:C66"/>
    <mergeCell ref="F63:F66"/>
    <mergeCell ref="G63:G66"/>
    <mergeCell ref="H63:H66"/>
    <mergeCell ref="I63:I66"/>
    <mergeCell ref="C67:C70"/>
    <mergeCell ref="F67:F70"/>
    <mergeCell ref="G67:G70"/>
    <mergeCell ref="H67:H70"/>
    <mergeCell ref="I67:I70"/>
    <mergeCell ref="A47:A58"/>
    <mergeCell ref="C47:C50"/>
    <mergeCell ref="F47:F50"/>
    <mergeCell ref="G47:G50"/>
    <mergeCell ref="H47:H50"/>
    <mergeCell ref="I47:I50"/>
    <mergeCell ref="C51:C54"/>
    <mergeCell ref="F51:F54"/>
    <mergeCell ref="G51:G54"/>
    <mergeCell ref="H51:H54"/>
    <mergeCell ref="I51:I54"/>
    <mergeCell ref="C55:C58"/>
    <mergeCell ref="F55:F58"/>
    <mergeCell ref="G55:G58"/>
    <mergeCell ref="H55:H58"/>
    <mergeCell ref="I55:I58"/>
    <mergeCell ref="A34:A46"/>
    <mergeCell ref="C34:C37"/>
    <mergeCell ref="F34:F37"/>
    <mergeCell ref="G34:G37"/>
    <mergeCell ref="H34:H37"/>
    <mergeCell ref="I34:I37"/>
    <mergeCell ref="C38:C42"/>
    <mergeCell ref="F38:F42"/>
    <mergeCell ref="G38:G42"/>
    <mergeCell ref="H38:H42"/>
    <mergeCell ref="I38:I42"/>
    <mergeCell ref="C43:C46"/>
    <mergeCell ref="F43:F46"/>
    <mergeCell ref="G43:G46"/>
    <mergeCell ref="H43:H46"/>
    <mergeCell ref="I43:I46"/>
    <mergeCell ref="C22:C25"/>
    <mergeCell ref="F22:F25"/>
    <mergeCell ref="G22:G25"/>
    <mergeCell ref="H22:H25"/>
    <mergeCell ref="I22:I25"/>
    <mergeCell ref="A26:A33"/>
    <mergeCell ref="C26:C29"/>
    <mergeCell ref="F26:F29"/>
    <mergeCell ref="G26:G29"/>
    <mergeCell ref="H26:H29"/>
    <mergeCell ref="I26:I29"/>
    <mergeCell ref="C30:C33"/>
    <mergeCell ref="F30:F33"/>
    <mergeCell ref="G30:G33"/>
    <mergeCell ref="H30:H33"/>
    <mergeCell ref="I30:I33"/>
    <mergeCell ref="B1:D1"/>
    <mergeCell ref="B2:D2"/>
    <mergeCell ref="B3:D3"/>
    <mergeCell ref="A6:A25"/>
    <mergeCell ref="C6:C9"/>
    <mergeCell ref="F6:F9"/>
    <mergeCell ref="G6:G9"/>
    <mergeCell ref="H6:H9"/>
    <mergeCell ref="I6:I9"/>
    <mergeCell ref="C10:C13"/>
    <mergeCell ref="F10:F13"/>
    <mergeCell ref="G10:G13"/>
    <mergeCell ref="H10:H13"/>
    <mergeCell ref="I10:I13"/>
    <mergeCell ref="C14:C17"/>
    <mergeCell ref="F14:F17"/>
    <mergeCell ref="G14:G17"/>
    <mergeCell ref="H14:H17"/>
    <mergeCell ref="I14:I17"/>
    <mergeCell ref="C18:C21"/>
    <mergeCell ref="F18:F21"/>
    <mergeCell ref="G18:G21"/>
    <mergeCell ref="H18:H21"/>
    <mergeCell ref="I18:I21"/>
  </mergeCells>
  <conditionalFormatting sqref="E6:E102">
    <cfRule type="expression" dxfId="2" priority="2">
      <formula>$E6="Completado"</formula>
    </cfRule>
    <cfRule type="expression" dxfId="1" priority="3">
      <formula>$E6="En proceso"</formula>
    </cfRule>
    <cfRule type="expression" dxfId="0" priority="4">
      <formula>$E6="Falta"</formula>
    </cfRule>
  </conditionalFormatting>
  <dataValidations count="1">
    <dataValidation type="list" allowBlank="1" errorTitle="Estado no válido" error="Elige: Completado, En proceso o Falta" sqref="E6:E102" xr:uid="{00000000-0002-0000-0000-000000000000}">
      <formula1>"Completado,En proceso,Falta"</formula1>
      <formula2>0</formula2>
    </dataValidation>
  </dataValidations>
  <pageMargins left="0.75" right="0.75" top="1" bottom="1" header="0.511811023622047" footer="0.511811023622047"/>
  <pageSetup paperSize="8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EQUIPO!$B$7:$B$8</xm:f>
          </x14:formula1>
          <x14:formula2>
            <xm:f>0</xm:f>
          </x14:formula2>
          <xm:sqref>H6:H102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3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9" customWidth="1"/>
    <col min="2" max="2" width="21" customWidth="1"/>
    <col min="3" max="3" width="38" customWidth="1"/>
    <col min="4" max="4" width="52" customWidth="1"/>
    <col min="5" max="5" width="46" customWidth="1"/>
    <col min="6" max="6" width="34" customWidth="1"/>
  </cols>
  <sheetData>
    <row r="1" spans="1:6" ht="21.75" customHeight="1" x14ac:dyDescent="0.3">
      <c r="A1" s="39" t="s">
        <v>177</v>
      </c>
      <c r="B1" s="39"/>
      <c r="C1" s="39"/>
      <c r="D1" s="39"/>
      <c r="E1" s="39"/>
      <c r="F1" s="39"/>
    </row>
    <row r="2" spans="1:6" ht="21.75" customHeight="1" x14ac:dyDescent="0.3">
      <c r="A2" s="39"/>
      <c r="B2" s="39"/>
      <c r="C2" s="39"/>
      <c r="D2" s="39"/>
      <c r="E2" s="39"/>
      <c r="F2" s="39"/>
    </row>
    <row r="3" spans="1:6" ht="21.75" customHeight="1" x14ac:dyDescent="0.3">
      <c r="A3" s="40" t="s">
        <v>178</v>
      </c>
      <c r="B3" s="40"/>
      <c r="C3" s="40"/>
      <c r="D3" s="40"/>
      <c r="E3" s="40"/>
      <c r="F3" s="40"/>
    </row>
    <row r="5" spans="1:6" ht="30" customHeight="1" x14ac:dyDescent="0.3">
      <c r="A5" s="2" t="s">
        <v>6</v>
      </c>
      <c r="B5" s="2" t="s">
        <v>179</v>
      </c>
      <c r="C5" s="2" t="s">
        <v>180</v>
      </c>
      <c r="D5" s="2" t="s">
        <v>181</v>
      </c>
      <c r="E5" s="2" t="s">
        <v>182</v>
      </c>
      <c r="F5" s="2" t="s">
        <v>13</v>
      </c>
    </row>
    <row r="6" spans="1:6" ht="54.75" customHeight="1" x14ac:dyDescent="0.3">
      <c r="A6" s="11">
        <v>1</v>
      </c>
      <c r="B6" s="5" t="s">
        <v>27</v>
      </c>
      <c r="C6" s="6" t="s">
        <v>183</v>
      </c>
      <c r="D6" s="6" t="s">
        <v>184</v>
      </c>
      <c r="E6" s="6" t="s">
        <v>185</v>
      </c>
      <c r="F6" s="6" t="s">
        <v>20</v>
      </c>
    </row>
    <row r="7" spans="1:6" ht="39.75" customHeight="1" x14ac:dyDescent="0.3">
      <c r="A7" s="12">
        <v>2</v>
      </c>
      <c r="B7" s="9" t="s">
        <v>186</v>
      </c>
      <c r="C7" s="10" t="s">
        <v>187</v>
      </c>
      <c r="D7" s="10" t="s">
        <v>188</v>
      </c>
      <c r="E7" s="10" t="s">
        <v>189</v>
      </c>
      <c r="F7" s="10" t="s">
        <v>20</v>
      </c>
    </row>
    <row r="8" spans="1:6" ht="39.75" customHeight="1" x14ac:dyDescent="0.3">
      <c r="A8" s="11">
        <v>3</v>
      </c>
      <c r="B8" s="5" t="s">
        <v>75</v>
      </c>
      <c r="C8" s="6" t="s">
        <v>190</v>
      </c>
      <c r="D8" s="6" t="s">
        <v>191</v>
      </c>
      <c r="E8" s="6" t="s">
        <v>192</v>
      </c>
      <c r="F8" s="6" t="s">
        <v>69</v>
      </c>
    </row>
    <row r="9" spans="1:6" ht="39.75" customHeight="1" x14ac:dyDescent="0.3">
      <c r="A9" s="12">
        <v>4</v>
      </c>
      <c r="B9" s="9" t="s">
        <v>95</v>
      </c>
      <c r="C9" s="10" t="s">
        <v>193</v>
      </c>
      <c r="D9" s="10" t="s">
        <v>194</v>
      </c>
      <c r="E9" s="10" t="s">
        <v>195</v>
      </c>
      <c r="F9" s="10" t="s">
        <v>69</v>
      </c>
    </row>
    <row r="10" spans="1:6" ht="39.75" customHeight="1" x14ac:dyDescent="0.3">
      <c r="A10" s="11">
        <v>5</v>
      </c>
      <c r="B10" s="5" t="s">
        <v>114</v>
      </c>
      <c r="C10" s="6" t="s">
        <v>196</v>
      </c>
      <c r="D10" s="6" t="s">
        <v>197</v>
      </c>
      <c r="E10" s="6" t="s">
        <v>198</v>
      </c>
      <c r="F10" s="6" t="s">
        <v>69</v>
      </c>
    </row>
    <row r="11" spans="1:6" ht="39.75" customHeight="1" x14ac:dyDescent="0.3">
      <c r="A11" s="12">
        <v>6</v>
      </c>
      <c r="B11" s="9" t="s">
        <v>134</v>
      </c>
      <c r="C11" s="10" t="s">
        <v>199</v>
      </c>
      <c r="D11" s="10" t="s">
        <v>200</v>
      </c>
      <c r="E11" s="10" t="s">
        <v>201</v>
      </c>
      <c r="F11" s="10" t="s">
        <v>128</v>
      </c>
    </row>
    <row r="12" spans="1:6" ht="39.75" customHeight="1" x14ac:dyDescent="0.3">
      <c r="A12" s="11">
        <v>7</v>
      </c>
      <c r="B12" s="5" t="s">
        <v>147</v>
      </c>
      <c r="C12" s="6" t="s">
        <v>202</v>
      </c>
      <c r="D12" s="6" t="s">
        <v>203</v>
      </c>
      <c r="E12" s="6" t="s">
        <v>204</v>
      </c>
      <c r="F12" s="6" t="s">
        <v>128</v>
      </c>
    </row>
    <row r="13" spans="1:6" ht="39.75" customHeight="1" x14ac:dyDescent="0.3">
      <c r="A13" s="12">
        <v>8</v>
      </c>
      <c r="B13" s="9" t="s">
        <v>173</v>
      </c>
      <c r="C13" s="10" t="s">
        <v>205</v>
      </c>
      <c r="D13" s="10" t="s">
        <v>206</v>
      </c>
      <c r="E13" s="10" t="s">
        <v>207</v>
      </c>
      <c r="F13" s="10" t="s">
        <v>128</v>
      </c>
    </row>
  </sheetData>
  <mergeCells count="2">
    <mergeCell ref="A1:F2"/>
    <mergeCell ref="A3:F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2"/>
  <sheetViews>
    <sheetView showGridLines="0" zoomScaleNormal="100" workbookViewId="0"/>
  </sheetViews>
  <sheetFormatPr baseColWidth="10" defaultColWidth="8.6640625" defaultRowHeight="14.4" x14ac:dyDescent="0.3"/>
  <cols>
    <col min="1" max="1" width="6" customWidth="1"/>
    <col min="2" max="3" width="34" customWidth="1"/>
    <col min="4" max="4" width="24" customWidth="1"/>
    <col min="5" max="5" width="34" customWidth="1"/>
  </cols>
  <sheetData>
    <row r="1" spans="1:5" x14ac:dyDescent="0.3">
      <c r="A1" s="39" t="s">
        <v>208</v>
      </c>
      <c r="B1" s="39"/>
      <c r="C1" s="39"/>
      <c r="D1" s="39"/>
      <c r="E1" s="39"/>
    </row>
    <row r="2" spans="1:5" x14ac:dyDescent="0.3">
      <c r="A2" s="39"/>
      <c r="B2" s="39"/>
      <c r="C2" s="39"/>
      <c r="D2" s="39"/>
      <c r="E2" s="39"/>
    </row>
    <row r="3" spans="1:5" ht="31.5" customHeight="1" x14ac:dyDescent="0.3">
      <c r="A3" s="41" t="s">
        <v>209</v>
      </c>
      <c r="B3" s="41"/>
      <c r="C3" s="41"/>
      <c r="D3" s="41"/>
      <c r="E3" s="41"/>
    </row>
    <row r="5" spans="1:5" ht="27.75" customHeight="1" x14ac:dyDescent="0.3">
      <c r="A5" s="2" t="s">
        <v>210</v>
      </c>
      <c r="B5" s="2" t="s">
        <v>211</v>
      </c>
      <c r="C5" s="2" t="s">
        <v>212</v>
      </c>
      <c r="D5" s="2" t="s">
        <v>213</v>
      </c>
      <c r="E5" s="2" t="s">
        <v>214</v>
      </c>
    </row>
    <row r="6" spans="1:5" ht="21.75" customHeight="1" x14ac:dyDescent="0.3">
      <c r="A6" s="13" t="s">
        <v>215</v>
      </c>
      <c r="B6" s="14" t="s">
        <v>216</v>
      </c>
      <c r="C6" s="14" t="s">
        <v>217</v>
      </c>
      <c r="D6" s="14" t="s">
        <v>218</v>
      </c>
      <c r="E6" s="14" t="s">
        <v>219</v>
      </c>
    </row>
    <row r="7" spans="1:5" ht="24" customHeight="1" x14ac:dyDescent="0.3">
      <c r="A7" s="15">
        <v>1</v>
      </c>
      <c r="B7" s="16" t="s">
        <v>220</v>
      </c>
      <c r="C7" s="16" t="s">
        <v>221</v>
      </c>
      <c r="D7" s="16"/>
      <c r="E7" s="16"/>
    </row>
    <row r="8" spans="1:5" ht="24" customHeight="1" x14ac:dyDescent="0.3">
      <c r="A8" s="15">
        <v>2</v>
      </c>
      <c r="B8" s="16" t="s">
        <v>222</v>
      </c>
      <c r="C8" s="16" t="s">
        <v>223</v>
      </c>
      <c r="D8" s="16"/>
      <c r="E8" s="16"/>
    </row>
    <row r="12" spans="1:5" ht="48" customHeight="1" x14ac:dyDescent="0.3">
      <c r="A12" s="42" t="s">
        <v>224</v>
      </c>
      <c r="B12" s="42"/>
      <c r="C12" s="42"/>
      <c r="D12" s="42"/>
      <c r="E12" s="42"/>
    </row>
  </sheetData>
  <mergeCells count="3">
    <mergeCell ref="A1:E2"/>
    <mergeCell ref="A3:E3"/>
    <mergeCell ref="A12:E1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2"/>
  <sheetViews>
    <sheetView showGridLines="0" zoomScaleNormal="100" workbookViewId="0"/>
  </sheetViews>
  <sheetFormatPr baseColWidth="10" defaultColWidth="8.6640625" defaultRowHeight="14.4" x14ac:dyDescent="0.3"/>
  <cols>
    <col min="1" max="1" width="22" customWidth="1"/>
    <col min="2" max="2" width="18" customWidth="1"/>
    <col min="3" max="3" width="17" customWidth="1"/>
    <col min="4" max="7" width="14" customWidth="1"/>
  </cols>
  <sheetData>
    <row r="1" spans="1:7" x14ac:dyDescent="0.3">
      <c r="A1" s="39" t="s">
        <v>225</v>
      </c>
      <c r="B1" s="39"/>
      <c r="C1" s="39"/>
      <c r="D1" s="39"/>
      <c r="E1" s="39"/>
      <c r="F1" s="39"/>
      <c r="G1" s="39"/>
    </row>
    <row r="2" spans="1:7" x14ac:dyDescent="0.3">
      <c r="A2" s="39"/>
      <c r="B2" s="39"/>
      <c r="C2" s="39"/>
      <c r="D2" s="39"/>
      <c r="E2" s="39"/>
      <c r="F2" s="39"/>
      <c r="G2" s="39"/>
    </row>
    <row r="3" spans="1:7" ht="21.75" customHeight="1" x14ac:dyDescent="0.3">
      <c r="A3" s="43" t="s">
        <v>226</v>
      </c>
      <c r="B3" s="43"/>
      <c r="C3" s="43"/>
      <c r="D3" s="43"/>
      <c r="E3" s="43"/>
      <c r="F3" s="43"/>
      <c r="G3" s="43"/>
    </row>
    <row r="5" spans="1:7" ht="16.8" x14ac:dyDescent="0.3">
      <c r="A5" s="17" t="s">
        <v>227</v>
      </c>
    </row>
    <row r="6" spans="1:7" ht="31.5" customHeight="1" x14ac:dyDescent="0.3">
      <c r="A6" s="18" t="s">
        <v>6</v>
      </c>
      <c r="B6" s="18" t="s">
        <v>228</v>
      </c>
      <c r="C6" s="18" t="s">
        <v>229</v>
      </c>
      <c r="D6" s="18" t="s">
        <v>230</v>
      </c>
      <c r="E6" s="18" t="s">
        <v>17</v>
      </c>
      <c r="F6" s="18" t="s">
        <v>231</v>
      </c>
    </row>
    <row r="7" spans="1:7" x14ac:dyDescent="0.3">
      <c r="A7" s="19">
        <v>1</v>
      </c>
      <c r="B7" s="20">
        <f>COUNTIF(PLANIFICACION!$B$6:$B$300,A7)</f>
        <v>20</v>
      </c>
      <c r="C7" s="20">
        <f>COUNTIFS(PLANIFICACION!$B$6:$B$300,$A7,PLANIFICACION!$E$6:$E$300,"Completado")</f>
        <v>16</v>
      </c>
      <c r="D7" s="20">
        <f>COUNTIFS(PLANIFICACION!$B$6:$B$300,$A7,PLANIFICACION!$E$6:$E$300,"En proceso")</f>
        <v>3</v>
      </c>
      <c r="E7" s="20">
        <f>COUNTIFS(PLANIFICACION!$B$6:$B$300,$A7,PLANIFICACION!$E$6:$E$300,"Falta")</f>
        <v>1</v>
      </c>
      <c r="F7" s="21">
        <f t="shared" ref="F7:F15" si="0">IF(B7=0,0,C7/B7)</f>
        <v>0.8</v>
      </c>
    </row>
    <row r="8" spans="1:7" x14ac:dyDescent="0.3">
      <c r="A8" s="22">
        <v>2</v>
      </c>
      <c r="B8" s="23">
        <f>COUNTIF(PLANIFICACION!$B$6:$B$300,A8)</f>
        <v>8</v>
      </c>
      <c r="C8" s="23">
        <f>COUNTIFS(PLANIFICACION!$B$6:$B$300,$A8,PLANIFICACION!$E$6:$E$300,"Completado")</f>
        <v>0</v>
      </c>
      <c r="D8" s="23">
        <f>COUNTIFS(PLANIFICACION!$B$6:$B$300,$A8,PLANIFICACION!$E$6:$E$300,"En proceso")</f>
        <v>0</v>
      </c>
      <c r="E8" s="23">
        <f>COUNTIFS(PLANIFICACION!$B$6:$B$300,$A8,PLANIFICACION!$E$6:$E$300,"Falta")</f>
        <v>8</v>
      </c>
      <c r="F8" s="24">
        <f t="shared" si="0"/>
        <v>0</v>
      </c>
    </row>
    <row r="9" spans="1:7" x14ac:dyDescent="0.3">
      <c r="A9" s="19">
        <v>3</v>
      </c>
      <c r="B9" s="20">
        <f>COUNTIF(PLANIFICACION!$B$6:$B$300,A9)</f>
        <v>13</v>
      </c>
      <c r="C9" s="20">
        <f>COUNTIFS(PLANIFICACION!$B$6:$B$300,$A9,PLANIFICACION!$E$6:$E$300,"Completado")</f>
        <v>0</v>
      </c>
      <c r="D9" s="20">
        <f>COUNTIFS(PLANIFICACION!$B$6:$B$300,$A9,PLANIFICACION!$E$6:$E$300,"En proceso")</f>
        <v>0</v>
      </c>
      <c r="E9" s="20">
        <f>COUNTIFS(PLANIFICACION!$B$6:$B$300,$A9,PLANIFICACION!$E$6:$E$300,"Falta")</f>
        <v>13</v>
      </c>
      <c r="F9" s="21">
        <f t="shared" si="0"/>
        <v>0</v>
      </c>
    </row>
    <row r="10" spans="1:7" x14ac:dyDescent="0.3">
      <c r="A10" s="22">
        <v>4</v>
      </c>
      <c r="B10" s="23">
        <f>COUNTIF(PLANIFICACION!$B$6:$B$300,A10)</f>
        <v>12</v>
      </c>
      <c r="C10" s="23">
        <f>COUNTIFS(PLANIFICACION!$B$6:$B$300,$A10,PLANIFICACION!$E$6:$E$300,"Completado")</f>
        <v>0</v>
      </c>
      <c r="D10" s="23">
        <f>COUNTIFS(PLANIFICACION!$B$6:$B$300,$A10,PLANIFICACION!$E$6:$E$300,"En proceso")</f>
        <v>0</v>
      </c>
      <c r="E10" s="23">
        <f>COUNTIFS(PLANIFICACION!$B$6:$B$300,$A10,PLANIFICACION!$E$6:$E$300,"Falta")</f>
        <v>12</v>
      </c>
      <c r="F10" s="24">
        <f t="shared" si="0"/>
        <v>0</v>
      </c>
    </row>
    <row r="11" spans="1:7" x14ac:dyDescent="0.3">
      <c r="A11" s="19">
        <v>5</v>
      </c>
      <c r="B11" s="20">
        <f>COUNTIF(PLANIFICACION!$B$6:$B$300,A11)</f>
        <v>12</v>
      </c>
      <c r="C11" s="20">
        <f>COUNTIFS(PLANIFICACION!$B$6:$B$300,$A11,PLANIFICACION!$E$6:$E$300,"Completado")</f>
        <v>0</v>
      </c>
      <c r="D11" s="20">
        <f>COUNTIFS(PLANIFICACION!$B$6:$B$300,$A11,PLANIFICACION!$E$6:$E$300,"En proceso")</f>
        <v>0</v>
      </c>
      <c r="E11" s="20">
        <f>COUNTIFS(PLANIFICACION!$B$6:$B$300,$A11,PLANIFICACION!$E$6:$E$300,"Falta")</f>
        <v>12</v>
      </c>
      <c r="F11" s="21">
        <f t="shared" si="0"/>
        <v>0</v>
      </c>
    </row>
    <row r="12" spans="1:7" x14ac:dyDescent="0.3">
      <c r="A12" s="22">
        <v>6</v>
      </c>
      <c r="B12" s="23">
        <f>COUNTIF(PLANIFICACION!$B$6:$B$300,A12)</f>
        <v>12</v>
      </c>
      <c r="C12" s="23">
        <f>COUNTIFS(PLANIFICACION!$B$6:$B$300,$A12,PLANIFICACION!$E$6:$E$300,"Completado")</f>
        <v>0</v>
      </c>
      <c r="D12" s="23">
        <f>COUNTIFS(PLANIFICACION!$B$6:$B$300,$A12,PLANIFICACION!$E$6:$E$300,"En proceso")</f>
        <v>0</v>
      </c>
      <c r="E12" s="23">
        <f>COUNTIFS(PLANIFICACION!$B$6:$B$300,$A12,PLANIFICACION!$E$6:$E$300,"Falta")</f>
        <v>12</v>
      </c>
      <c r="F12" s="24">
        <f t="shared" si="0"/>
        <v>0</v>
      </c>
    </row>
    <row r="13" spans="1:7" x14ac:dyDescent="0.3">
      <c r="A13" s="19">
        <v>7</v>
      </c>
      <c r="B13" s="20">
        <f>COUNTIF(PLANIFICACION!$B$6:$B$300,A13)</f>
        <v>12</v>
      </c>
      <c r="C13" s="20">
        <f>COUNTIFS(PLANIFICACION!$B$6:$B$300,$A13,PLANIFICACION!$E$6:$E$300,"Completado")</f>
        <v>0</v>
      </c>
      <c r="D13" s="20">
        <f>COUNTIFS(PLANIFICACION!$B$6:$B$300,$A13,PLANIFICACION!$E$6:$E$300,"En proceso")</f>
        <v>0</v>
      </c>
      <c r="E13" s="20">
        <f>COUNTIFS(PLANIFICACION!$B$6:$B$300,$A13,PLANIFICACION!$E$6:$E$300,"Falta")</f>
        <v>12</v>
      </c>
      <c r="F13" s="21">
        <f t="shared" si="0"/>
        <v>0</v>
      </c>
    </row>
    <row r="14" spans="1:7" x14ac:dyDescent="0.3">
      <c r="A14" s="22">
        <v>8</v>
      </c>
      <c r="B14" s="23">
        <f>COUNTIF(PLANIFICACION!$B$6:$B$300,A14)</f>
        <v>8</v>
      </c>
      <c r="C14" s="23">
        <f>COUNTIFS(PLANIFICACION!$B$6:$B$300,$A14,PLANIFICACION!$E$6:$E$300,"Completado")</f>
        <v>0</v>
      </c>
      <c r="D14" s="23">
        <f>COUNTIFS(PLANIFICACION!$B$6:$B$300,$A14,PLANIFICACION!$E$6:$E$300,"En proceso")</f>
        <v>0</v>
      </c>
      <c r="E14" s="23">
        <f>COUNTIFS(PLANIFICACION!$B$6:$B$300,$A14,PLANIFICACION!$E$6:$E$300,"Falta")</f>
        <v>8</v>
      </c>
      <c r="F14" s="24">
        <f t="shared" si="0"/>
        <v>0</v>
      </c>
    </row>
    <row r="15" spans="1:7" x14ac:dyDescent="0.3">
      <c r="A15" s="25" t="s">
        <v>232</v>
      </c>
      <c r="B15" s="25">
        <f>SUM(B7:B14)</f>
        <v>97</v>
      </c>
      <c r="C15" s="25">
        <f>SUM(C7:C14)</f>
        <v>16</v>
      </c>
      <c r="D15" s="25">
        <f>SUM(D7:D14)</f>
        <v>3</v>
      </c>
      <c r="E15" s="25">
        <f>SUM(E7:E14)</f>
        <v>78</v>
      </c>
      <c r="F15" s="26">
        <f t="shared" si="0"/>
        <v>0.16494845360824742</v>
      </c>
    </row>
    <row r="18" spans="1:4" ht="16.8" x14ac:dyDescent="0.3">
      <c r="A18" s="17" t="s">
        <v>233</v>
      </c>
    </row>
    <row r="19" spans="1:4" ht="31.5" customHeight="1" x14ac:dyDescent="0.3">
      <c r="A19" s="18" t="s">
        <v>234</v>
      </c>
      <c r="B19" s="18" t="s">
        <v>235</v>
      </c>
      <c r="C19" s="18" t="s">
        <v>236</v>
      </c>
      <c r="D19" s="18" t="s">
        <v>237</v>
      </c>
    </row>
    <row r="20" spans="1:4" x14ac:dyDescent="0.3">
      <c r="A20" s="27" t="str">
        <f>EQUIPO!$B$7</f>
        <v>Jose Espinoza Rivadeneira</v>
      </c>
      <c r="B20" s="20">
        <f>COUNTIF(PLANIFICACION!$H$6:$H$300,A20)</f>
        <v>12</v>
      </c>
      <c r="C20" s="20">
        <f>COUNTIFS(PLANIFICACION!$H$6:$H$300,A20,PLANIFICACION!$B$6:$B$300,1)</f>
        <v>3</v>
      </c>
      <c r="D20" s="21">
        <f>IF($B$22=0,0,B20/$B$22)</f>
        <v>0.5</v>
      </c>
    </row>
    <row r="21" spans="1:4" x14ac:dyDescent="0.3">
      <c r="A21" s="28" t="str">
        <f>EQUIPO!$B$8</f>
        <v>Jack</v>
      </c>
      <c r="B21" s="23">
        <f>COUNTIF(PLANIFICACION!$H$6:$H$300,A21)</f>
        <v>12</v>
      </c>
      <c r="C21" s="23">
        <f>COUNTIFS(PLANIFICACION!$H$6:$H$300,A21,PLANIFICACION!$B$6:$B$300,1)</f>
        <v>2</v>
      </c>
      <c r="D21" s="24">
        <f>IF($B$22=0,0,B21/$B$22)</f>
        <v>0.5</v>
      </c>
    </row>
    <row r="22" spans="1:4" x14ac:dyDescent="0.3">
      <c r="A22" s="29" t="s">
        <v>232</v>
      </c>
      <c r="B22" s="25">
        <f>SUM(B20:B21)</f>
        <v>24</v>
      </c>
      <c r="C22" s="25">
        <f>SUM(C20:C21)</f>
        <v>5</v>
      </c>
      <c r="D22" s="26">
        <f>SUM(D20:D21)</f>
        <v>1</v>
      </c>
    </row>
  </sheetData>
  <mergeCells count="2">
    <mergeCell ref="A1:G2"/>
    <mergeCell ref="A3:G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PLANIFICACION</vt:lpstr>
      <vt:lpstr>FASES</vt:lpstr>
      <vt:lpstr>EQUIPO</vt:lpstr>
      <vt:lpstr>RESUMEN</vt:lpstr>
      <vt:lpstr>PLANIFICACION!Títulos_a_imprimir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espinoza rivadeniera</cp:lastModifiedBy>
  <cp:revision>0</cp:revision>
  <dcterms:created xsi:type="dcterms:W3CDTF">2026-09-23T23:36:00Z</dcterms:created>
  <dcterms:modified xsi:type="dcterms:W3CDTF">2026-09-30T08:24:06Z</dcterms:modified>
  <dc:language>en-US</dc:language>
</cp:coreProperties>
</file>